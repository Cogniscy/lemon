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f3fcc5de5704b6a" /></Relationships>
</file>

<file path=xl/workbook.xml><?xml version="1.0" encoding="utf-8"?>
<x:workbook xmlns:x="http://schemas.openxmlformats.org/spreadsheetml/2006/main">
  <x:sheets>
    <x:sheet xmlns:r="http://schemas.openxmlformats.org/officeDocument/2006/relationships" name="Review" sheetId="1" r:id="R22bf2bb4a23f4ee5"/>
    <x:sheet xmlns:r="http://schemas.openxmlformats.org/officeDocument/2006/relationships" name="Instructions" sheetId="2" r:id="R5d1398c70d7d4501"/>
    <x:sheet xmlns:r="http://schemas.openxmlformats.org/officeDocument/2006/relationships" name="Legend" sheetId="3" r:id="Rc0af287503b84cee"/>
    <x:sheet xmlns:r="http://schemas.openxmlformats.org/officeDocument/2006/relationships" name="Summary" sheetId="4" r:id="R940f91971a484b74"/>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0%"/>
  </x:numFmts>
  <x:fonts count="6">
    <x:font>
      <x:sz val="11"/>
      <x:name val="Carlito"/>
    </x:font>
    <x:font>
      <x:b/>
      <x:sz val="11"/>
      <x:color rgb="FFFFFF"/>
      <x:name val="Carlito"/>
    </x:font>
    <x:font>
      <x:b/>
      <x:sz val="14"/>
      <x:color rgb="FFFFFF"/>
      <x:name val="Carlito"/>
    </x:font>
    <x:font>
      <x:b/>
      <x:sz val="11"/>
      <x:name val="Carlito"/>
    </x:font>
    <x:font>
      <x:b/>
      <x:sz val="16"/>
      <x:color rgb="1F4E79"/>
      <x:name val="Carlito"/>
    </x:font>
    <x:font>
      <x:b/>
      <x:sz val="11"/>
      <x:color rgb="1F4E79"/>
      <x:name val="Carlito"/>
    </x:font>
  </x:fonts>
  <x:fills count="6">
    <x:fill>
      <x:patternFill patternType="none"/>
    </x:fill>
    <x:fill>
      <x:patternFill patternType="gray125"/>
    </x:fill>
    <x:fill>
      <x:patternFill patternType="solid">
        <x:fgColor rgb="1F4E79"/>
      </x:patternFill>
    </x:fill>
    <x:fill>
      <x:patternFill patternType="solid">
        <x:fgColor rgb="F8FAFC"/>
      </x:patternFill>
    </x:fill>
    <x:fill>
      <x:patternFill patternType="solid">
        <x:fgColor rgb="B45F06"/>
      </x:patternFill>
    </x:fill>
    <x:fill>
      <x:patternFill patternType="solid">
        <x:fgColor rgb="FFF2CC"/>
      </x:patternFill>
    </x:fill>
  </x:fills>
  <x:borders count="2">
    <x:border/>
    <x:border/>
  </x:borders>
  <x:cellStyleXfs count="1">
    <x:xf numFmtId="0" fontId="0" fillId="0" borderId="0"/>
  </x:cellStyleXfs>
  <x:cellXfs count="44">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3" borderId="0" xfId="0" applyNumberFormat="1" applyFont="1" applyFill="1" applyBorder="1"/>
    <x:xf numFmtId="0" fontId="0" fillId="3" borderId="0" xfId="0" applyNumberFormat="1" applyFont="1" applyFill="1" applyBorder="1" applyAlignment="1">
      <x:alignment wrapText="1"/>
    </x:xf>
    <x:xf numFmtId="0" fontId="0" fillId="3" borderId="0" xfId="0" applyNumberFormat="1" applyFont="1" applyFill="1" applyBorder="1" applyAlignment="1">
      <x:alignment vertical="top" wrapText="1"/>
    </x:xf>
    <x:xf numFmtId="0" fontId="0" fillId="3" borderId="1" xfId="0" applyNumberFormat="1" applyFont="1" applyFill="1" applyBorder="1"/>
    <x:xf numFmtId="0" fontId="0" fillId="3" borderId="1" xfId="0" applyNumberFormat="1" applyFont="1" applyFill="1" applyBorder="1" applyAlignment="1">
      <x:alignment wrapText="1"/>
    </x:xf>
    <x:xf numFmtId="0" fontId="0" fillId="3" borderId="1" xfId="0" applyNumberFormat="1" applyFont="1" applyFill="1" applyBorder="1" applyAlignment="1">
      <x:alignment vertical="top" wrapText="1"/>
    </x:xf>
    <x:xf numFmtId="0" fontId="1" fillId="4" borderId="0" xfId="0" applyNumberFormat="1" applyFont="1" applyFill="1" applyBorder="1" applyAlignment="1">
      <x:alignment horizontal="center" vertical="center" wrapText="1"/>
    </x:xf>
    <x:xf numFmtId="0" fontId="1" fillId="4" borderId="1" xfId="0" applyNumberFormat="1" applyFont="1" applyFill="1" applyBorder="1" applyAlignment="1">
      <x:alignment horizontal="center" vertical="center" wrapText="1"/>
    </x:xf>
    <x:xf numFmtId="0" fontId="0" fillId="5" borderId="0" xfId="0" applyNumberFormat="1" applyFont="1" applyFill="1" applyBorder="1"/>
    <x:xf numFmtId="0" fontId="0" fillId="5" borderId="0" xfId="0" applyNumberFormat="1" applyFont="1" applyFill="1" applyBorder="1" applyAlignment="1">
      <x:alignment wrapText="1"/>
    </x:xf>
    <x:xf numFmtId="0" fontId="0" fillId="5" borderId="0" xfId="0" applyNumberFormat="1" applyFont="1" applyFill="1" applyBorder="1" applyAlignment="1">
      <x:alignment vertical="top" wrapText="1"/>
    </x:xf>
    <x:xf numFmtId="0" fontId="0" fillId="5" borderId="1" xfId="0" applyNumberFormat="1" applyFont="1" applyFill="1" applyBorder="1"/>
    <x:xf numFmtId="0" fontId="0" fillId="5" borderId="1" xfId="0" applyNumberFormat="1" applyFont="1" applyFill="1" applyBorder="1" applyAlignment="1">
      <x:alignment wrapText="1"/>
    </x:xf>
    <x:xf numFmtId="0" fontId="0" fillId="5" borderId="1" xfId="0" applyNumberFormat="1" applyFont="1" applyFill="1" applyBorder="1" applyAlignment="1">
      <x:alignment vertical="top" wrapText="1"/>
    </x:xf>
    <x:xf numFmtId="0" fontId="2" fillId="2" borderId="0" xfId="0" applyNumberFormat="1" applyFont="1" applyFill="1" applyBorder="1"/>
    <x:xf numFmtId="0" fontId="2" fillId="2" borderId="0" xfId="0" applyNumberFormat="1" applyFont="1" applyFill="1" applyBorder="1" applyAlignment="1">
      <x:alignment horizontal="center"/>
    </x:xf>
    <x:xf numFmtId="0" fontId="2" fillId="2" borderId="1" xfId="0" applyNumberFormat="1" applyFont="1" applyFill="1" applyBorder="1"/>
    <x:xf numFmtId="0" fontId="2" fillId="2" borderId="1" xfId="0" applyNumberFormat="1" applyFont="1" applyFill="1" applyBorder="1" applyAlignment="1">
      <x:alignment horizontal="center"/>
    </x:xf>
    <x:xf numFmtId="0" fontId="3" fillId="0" borderId="0" xfId="0" applyNumberFormat="1" applyFont="1" applyFill="1" applyBorder="1"/>
    <x:xf numFmtId="0" fontId="3" fillId="0" borderId="1" xfId="0" applyNumberFormat="1" applyFont="1" applyFill="1" applyBorder="1"/>
    <x:xf numFmtId="200" fontId="0" fillId="0" borderId="0" xfId="0" applyNumberFormat="1" applyFont="1" applyFill="1" applyBorder="1"/>
    <x:xf numFmtId="200" fontId="0" fillId="0" borderId="1" xfId="0" applyNumberFormat="1" applyFont="1" applyFill="1" applyBorder="1"/>
    <x:xf numFmtId="0" fontId="4" fillId="0" borderId="0" xfId="0" applyNumberFormat="1" applyFont="1" applyFill="1" applyBorder="1"/>
    <x:xf numFmtId="0" fontId="4" fillId="0" borderId="1" xfId="0" applyNumberFormat="1" applyFont="1" applyFill="1" applyBorder="1"/>
    <x:xf numFmtId="0" fontId="5" fillId="0" borderId="0" xfId="0" applyNumberFormat="1" applyFont="1" applyFill="1" applyBorder="1"/>
    <x:xf numFmtId="0" fontId="5" fillId="0" borderId="1" xfId="0" applyNumberFormat="1" applyFont="1" applyFill="1" applyBorder="1"/>
    <x:xf numFmtId="0" fontId="4" fillId="0" borderId="0" xfId="0" applyNumberFormat="1" applyFont="1" applyFill="1" applyBorder="1" applyAlignment="1">
      <x:alignment wrapText="1"/>
    </x:xf>
    <x:xf numFmtId="0" fontId="0" fillId="0" borderId="0" xfId="0" applyNumberFormat="1" applyFont="1" applyFill="1" applyBorder="1" applyAlignment="1">
      <x:alignment wrapText="1"/>
    </x:xf>
    <x:xf numFmtId="0" fontId="5" fillId="0" borderId="0" xfId="0" applyNumberFormat="1" applyFont="1" applyFill="1" applyBorder="1" applyAlignment="1">
      <x:alignment wrapText="1"/>
    </x:xf>
    <x:xf numFmtId="0" fontId="4" fillId="0" borderId="1" xfId="0" applyNumberFormat="1" applyFont="1" applyFill="1" applyBorder="1" applyAlignment="1">
      <x:alignment wrapText="1"/>
    </x:xf>
    <x:xf numFmtId="0" fontId="0" fillId="0" borderId="1" xfId="0" applyNumberFormat="1" applyFont="1" applyFill="1" applyBorder="1" applyAlignment="1">
      <x:alignment wrapText="1"/>
    </x:xf>
    <x:xf numFmtId="0" fontId="5" fillId="0" borderId="1" xfId="0" applyNumberFormat="1" applyFont="1" applyFill="1" applyBorder="1" applyAlignment="1">
      <x:alignment wrapText="1"/>
    </x:xf>
  </x:cellXfs>
  <x:cellStyles count="1">
    <x:cellStyle name="Normal" xfId="0"/>
  </x:cellStyles>
  <x:dxfs count="7">
    <x:dxf>
      <x:fill>
        <x:patternFill patternType="solid">
          <x:bgColor rgb="D9EAD3"/>
        </x:patternFill>
      </x:fill>
    </x:dxf>
    <x:dxf>
      <x:fill>
        <x:patternFill patternType="solid">
          <x:bgColor rgb="FFF2CC"/>
        </x:patternFill>
      </x:fill>
    </x:dxf>
    <x:dxf>
      <x:fill>
        <x:patternFill patternType="solid">
          <x:bgColor rgb="F4CCCC"/>
        </x:patternFill>
      </x:fill>
    </x:dxf>
    <x:dxf>
      <x:fill>
        <x:patternFill patternType="solid">
          <x:bgColor rgb="D9D2E9"/>
        </x:patternFill>
      </x:fill>
    </x:dxf>
    <x:dxf>
      <x:fill>
        <x:patternFill patternType="solid">
          <x:bgColor rgb="D9EAD3"/>
        </x:patternFill>
      </x:fill>
    </x:dxf>
    <x:dxf>
      <x:fill>
        <x:patternFill patternType="solid">
          <x:bgColor rgb="FFF2CC"/>
        </x:patternFill>
      </x:fill>
    </x:dxf>
    <x:dxf>
      <x:fill>
        <x:patternFill patternType="solid">
          <x:bgColor rgb="F4CC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50b4d50e162c483e" /><Relationship Type="http://schemas.openxmlformats.org/officeDocument/2006/relationships/theme" Target="/xl/theme/theme1.xml" Id="R7253042e7a8a44b6" /><Relationship Type="http://schemas.openxmlformats.org/officeDocument/2006/relationships/sharedStrings" Target="/xl/sharedStrings.xml" Id="R75267282f2a84e79" /><Relationship Type="http://schemas.openxmlformats.org/officeDocument/2006/relationships/worksheet" Target="/xl/worksheets/sheet1.xml" Id="R22bf2bb4a23f4ee5" /><Relationship Type="http://schemas.openxmlformats.org/officeDocument/2006/relationships/worksheet" Target="/xl/worksheets/sheet2.xml" Id="R5d1398c70d7d4501" /><Relationship Type="http://schemas.openxmlformats.org/officeDocument/2006/relationships/worksheet" Target="/xl/worksheets/sheet3.xml" Id="Rc0af287503b84cee" /><Relationship Type="http://schemas.openxmlformats.org/officeDocument/2006/relationships/worksheet" Target="/xl/worksheets/sheet4.xml" Id="R940f91971a484b74" /></Relationships>
</file>

<file path=xl/tables/table1.xml><?xml version="1.0" encoding="utf-8"?>
<x:table xmlns:x="http://schemas.openxmlformats.org/spreadsheetml/2006/main" id="1" name="ExpertReviewTable" displayName="ExpertReviewTable" ref="A1:N51" headerRowCount="1">
  <x:tableColumns count="14">
    <x:tableColumn id="1" name="id"/>
    <x:tableColumn id="2" name="domain"/>
    <x:tableColumn id="3" name="predicate"/>
    <x:tableColumn id="4" name="review_priority"/>
    <x:tableColumn id="5" name="example_triple"/>
    <x:tableColumn id="6" name="example_text"/>
    <x:tableColumn id="7" name="proposed_factors"/>
    <x:tableColumn id="8" name="verdict"/>
    <x:tableColumn id="9" name="missing_factors"/>
    <x:tableColumn id="10" name="wrong_or_extra_factors"/>
    <x:tableColumn id="11" name="direction_or_role_ok"/>
    <x:tableColumn id="12" name="polarity_ok"/>
    <x:tableColumn id="13" name="suggested_fix"/>
    <x:tableColumn id="14" name="comment"/>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3ac4039caa164226" /></Relationships>
</file>

<file path=xl/worksheets/sheet1.xml><?xml version="1.0" encoding="utf-8"?>
<x:worksheet xmlns:x="http://schemas.openxmlformats.org/spreadsheetml/2006/main">
  <x:sheetFormatPr defaultRowHeight="15"/>
  <x:cols>
    <x:col min="1" max="1" width="9" hidden="0" customWidth="1"/>
    <x:col min="2" max="2" width="12" hidden="0" customWidth="1"/>
    <x:col min="3" max="3" width="22" hidden="0" customWidth="1"/>
    <x:col min="4" max="4" width="16" hidden="0" customWidth="1"/>
    <x:col min="5" max="5" width="42" hidden="0" customWidth="1"/>
    <x:col min="6" max="6" width="52" hidden="0" customWidth="1"/>
    <x:col min="7" max="7" width="48" hidden="0" customWidth="1"/>
    <x:col min="8" max="8" width="15" hidden="0" customWidth="1"/>
    <x:col min="9" max="9" width="34" hidden="0" customWidth="1"/>
    <x:col min="10" max="10" width="34" hidden="0" customWidth="1"/>
    <x:col min="11" max="11" width="20" hidden="0" customWidth="1"/>
    <x:col min="12" max="12" width="16" hidden="0" customWidth="1"/>
    <x:col min="13" max="13" width="34" hidden="0" customWidth="1"/>
    <x:col min="14" max="14" width="36" hidden="0" customWidth="1"/>
  </x:cols>
  <x:sheetData>
    <x:row r="1" ht="34" customHeight="1">
      <x:c r="A1" s="6" t="str">
        <x:v>id</x:v>
      </x:c>
      <x:c r="B1" s="6" t="str">
        <x:v>domain</x:v>
      </x:c>
      <x:c r="C1" s="6" t="str">
        <x:v>predicate</x:v>
      </x:c>
      <x:c r="D1" s="6" t="str">
        <x:v>review_priority</x:v>
      </x:c>
      <x:c r="E1" s="6" t="str">
        <x:v>example_triple</x:v>
      </x:c>
      <x:c r="F1" s="6" t="str">
        <x:v>example_text</x:v>
      </x:c>
      <x:c r="G1" s="6" t="str">
        <x:v>proposed_factors</x:v>
      </x:c>
      <x:c r="H1" s="18" t="str">
        <x:v>verdict</x:v>
      </x:c>
      <x:c r="I1" s="18" t="str">
        <x:v>missing_factors</x:v>
      </x:c>
      <x:c r="J1" s="18" t="str">
        <x:v>wrong_or_extra_factors</x:v>
      </x:c>
      <x:c r="K1" s="18" t="str">
        <x:v>direction_or_role_ok</x:v>
      </x:c>
      <x:c r="L1" s="18" t="str">
        <x:v>polarity_ok</x:v>
      </x:c>
      <x:c r="M1" s="18" t="str">
        <x:v>suggested_fix</x:v>
      </x:c>
      <x:c r="N1" s="18" t="str">
        <x:v>comment</x:v>
      </x:c>
    </x:row>
    <x:row r="2" ht="72" customHeight="1">
      <x:c r="A2" s="14" t="str">
        <x:v>EV001</x:v>
      </x:c>
      <x:c r="B2" s="14" t="str">
        <x:v>WebNLG</x:v>
      </x:c>
      <x:c r="C2" s="14" t="str">
        <x:v>location</x:v>
      </x:c>
      <x:c r="D2" s="14" t="str">
        <x:v>core-webnlg</x:v>
      </x:c>
      <x:c r="E2" s="14" t="str">
        <x:v>Adolfo_Suárez_Madrid–Barajas_Airport | location | San_Sebastián_de_los_Reyes</x:v>
      </x:c>
      <x:c r="F2" s="14" t="str">
        <x:v>Adolfo Suárez Madrid–Barajas Airport is found in San Sebastián de los Reyes.</x:v>
      </x:c>
      <x:c r="G2" s="14" t="str">
        <x:v>location_relation [predicate_meaning; w=0.6]; place [object_domain; w=0.3]; entity [subject_domain; w=0.1]</x:v>
      </x:c>
      <x:c r="H2" s="22" t="str"/>
      <x:c r="I2" s="22" t="str"/>
      <x:c r="J2" s="22" t="str"/>
      <x:c r="K2" s="22" t="str"/>
      <x:c r="L2" s="22" t="str"/>
      <x:c r="M2" s="22" t="str"/>
      <x:c r="N2" s="22" t="str"/>
    </x:row>
    <x:row r="3" ht="72" customHeight="1">
      <x:c r="A3" s="14" t="str">
        <x:v>EV002</x:v>
      </x:c>
      <x:c r="B3" s="14" t="str">
        <x:v>WebNLG</x:v>
      </x:c>
      <x:c r="C3" s="14" t="str">
        <x:v>country</x:v>
      </x:c>
      <x:c r="D3" s="14" t="str">
        <x:v>core-webnlg</x:v>
      </x:c>
      <x:c r="E3" s="14" t="str">
        <x:v>Bacon_sandwich | country | United_Kingdom</x:v>
      </x:c>
      <x:c r="F3" s="14" t="str">
        <x:v>Bacon sandwich is a dish from the United Kingdom and a variation is the BLT. An ingredient used is brown sauce and its different names include Bacon butty, bacon sarnie, rasher sandwich, bacon sanger, piece 'n bacon, bacon cob, bacon barm and bacon muffin.</x:v>
      </x:c>
      <x:c r="G3" s="14" t="str">
        <x:v>location_relation [predicate_meaning; w=0.6]; place [object_domain; w=0.3]; entity_relation [background; w=0.1]</x:v>
      </x:c>
      <x:c r="H3" s="22" t="str"/>
      <x:c r="I3" s="22" t="str"/>
      <x:c r="J3" s="22" t="str"/>
      <x:c r="K3" s="22" t="str"/>
      <x:c r="L3" s="22" t="str"/>
      <x:c r="M3" s="22" t="str"/>
      <x:c r="N3" s="22" t="str"/>
    </x:row>
    <x:row r="4" ht="72" customHeight="1">
      <x:c r="A4" s="14" t="str">
        <x:v>EV003</x:v>
      </x:c>
      <x:c r="B4" s="14" t="str">
        <x:v>WebNLG</x:v>
      </x:c>
      <x:c r="C4" s="14" t="str">
        <x:v>leader</x:v>
      </x:c>
      <x:c r="D4" s="14" t="str">
        <x:v>core-webnlg</x:v>
      </x:c>
      <x:c r="E4" s="14" t="str">
        <x:v>Brazil | leader | Cármen_Lúcia</x:v>
      </x:c>
      <x:c r="F4" s="14" t="str">
        <x:v>Cármen Lúcia is the leader of Brazil.</x:v>
      </x:c>
      <x:c r="G4" s="14" t="str">
        <x:v>political_relation [predicate_meaning; w=0.6]; person [object_domain; w=0.3]; place [subject_domain; w=0.1]</x:v>
      </x:c>
      <x:c r="H4" s="22" t="str"/>
      <x:c r="I4" s="22" t="str"/>
      <x:c r="J4" s="22" t="str"/>
      <x:c r="K4" s="22" t="str"/>
      <x:c r="L4" s="22" t="str"/>
      <x:c r="M4" s="22" t="str"/>
      <x:c r="N4" s="22" t="str"/>
    </x:row>
    <x:row r="5" ht="72" customHeight="1">
      <x:c r="A5" s="14" t="str">
        <x:v>EV004</x:v>
      </x:c>
      <x:c r="B5" s="14" t="str">
        <x:v>WebNLG</x:v>
      </x:c>
      <x:c r="C5" s="14" t="str">
        <x:v>isPartOf</x:v>
      </x:c>
      <x:c r="D5" s="14" t="str">
        <x:v>core-webnlg</x:v>
      </x:c>
      <x:c r="E5" s="14" t="str">
        <x:v>United_States_House_of_Representatives | isPartOf | United_States_Congress</x:v>
      </x:c>
      <x:c r="F5" s="14" t="str">
        <x:v>Anaheim in California is led by the US based United States House of Representatives which is part of the United States Congress.</x:v>
      </x:c>
      <x:c r="G5" s="14" t="str">
        <x:v>part_whole_relation [predicate_meaning; w=0.55]; location_relation [modifier; w=0.3]; place [subject_domain; w=0.15]</x:v>
      </x:c>
      <x:c r="H5" s="22" t="str"/>
      <x:c r="I5" s="22" t="str"/>
      <x:c r="J5" s="22" t="str"/>
      <x:c r="K5" s="22" t="str"/>
      <x:c r="L5" s="22" t="str"/>
      <x:c r="M5" s="22" t="str"/>
      <x:c r="N5" s="22" t="str"/>
    </x:row>
    <x:row r="6" ht="72" customHeight="1">
      <x:c r="A6" s="14" t="str">
        <x:v>EV005</x:v>
      </x:c>
      <x:c r="B6" s="14" t="str">
        <x:v>WebNLG</x:v>
      </x:c>
      <x:c r="C6" s="14" t="str">
        <x:v>birthPlace</x:v>
      </x:c>
      <x:c r="D6" s="14" t="str">
        <x:v>core-webnlg</x:v>
      </x:c>
      <x:c r="E6" s="14" t="str">
        <x:v>N._R._Pogson | birthPlace | Nottingham</x:v>
      </x:c>
      <x:c r="F6" s="14" t="str">
        <x:v>N.R. Pogson was born in Nottingham and died in Chennai. He discovered the 107 Camilla asteroid on the 1st March 2001.</x:v>
      </x:c>
      <x:c r="G6" s="14" t="str">
        <x:v>biographical_relation [predicate_meaning; w=0.6]; person [subject_domain; w=0.2]; place [object_domain; w=0.2]</x:v>
      </x:c>
      <x:c r="H6" s="22" t="str"/>
      <x:c r="I6" s="22" t="str"/>
      <x:c r="J6" s="22" t="str"/>
      <x:c r="K6" s="22" t="str"/>
      <x:c r="L6" s="22" t="str"/>
      <x:c r="M6" s="22" t="str"/>
      <x:c r="N6" s="22" t="str"/>
    </x:row>
    <x:row r="7" ht="72" customHeight="1">
      <x:c r="A7" s="14" t="str">
        <x:v>EV006</x:v>
      </x:c>
      <x:c r="B7" s="14" t="str">
        <x:v>WebNLG</x:v>
      </x:c>
      <x:c r="C7" s="14" t="str">
        <x:v>club</x:v>
      </x:c>
      <x:c r="D7" s="14" t="str">
        <x:v>core-webnlg</x:v>
      </x:c>
      <x:c r="E7" s="14" t="str">
        <x:v>Alan_Martin_(footballer) | club | Hamilton_Academical_F.C.</x:v>
      </x:c>
      <x:c r="F7" s="14" t="str">
        <x:v>Alan Martin is a footballer who is 185.42 cm in height and was born on 1 January 1989. He plays for both Hamilton Academical FC and Crewe Alexandra FC.</x:v>
      </x:c>
      <x:c r="G7" s="14" t="str">
        <x:v>sports_relation [predicate_meaning; w=0.6]; membership_relation [modifier; w=0.2]; person [subject_domain; w=0.1]; organization [object_domain; w=0.1]</x:v>
      </x:c>
      <x:c r="H7" s="22" t="str"/>
      <x:c r="I7" s="22" t="str"/>
      <x:c r="J7" s="22" t="str"/>
      <x:c r="K7" s="22" t="str"/>
      <x:c r="L7" s="22" t="str"/>
      <x:c r="M7" s="22" t="str"/>
      <x:c r="N7" s="22" t="str"/>
    </x:row>
    <x:row r="8" ht="72" customHeight="1">
      <x:c r="A8" s="14" t="str">
        <x:v>EV007</x:v>
      </x:c>
      <x:c r="B8" s="14" t="str">
        <x:v>WebNLG</x:v>
      </x:c>
      <x:c r="C8" s="14" t="str">
        <x:v>associatedBand/associatedMusicalArtist</x:v>
      </x:c>
      <x:c r="D8" s="14" t="str">
        <x:v>core-webnlg</x:v>
      </x:c>
      <x:c r="E8" s="14" t="str">
        <x:v>Aaron_Turner | associatedBand/associatedMusicalArtist | Isis_(band)</x:v>
      </x:c>
      <x:c r="F8" s="14" t="str">
        <x:v>Aaron Turner is an artist for the band Isis and a musician in the Lotus Eaters band.</x:v>
      </x:c>
      <x:c r="G8" s="14" t="str">
        <x:v>creative_relation [predicate_meaning; w=0.65]; person [subject_domain; w=0.2]; organization [object_domain; w=0.15]</x:v>
      </x:c>
      <x:c r="H8" s="22" t="str"/>
      <x:c r="I8" s="22" t="str"/>
      <x:c r="J8" s="22" t="str"/>
      <x:c r="K8" s="22" t="str"/>
      <x:c r="L8" s="22" t="str"/>
      <x:c r="M8" s="22" t="str"/>
      <x:c r="N8" s="22" t="str"/>
    </x:row>
    <x:row r="9" ht="72" customHeight="1">
      <x:c r="A9" s="14" t="str">
        <x:v>EV008</x:v>
      </x:c>
      <x:c r="B9" s="14" t="str">
        <x:v>WebNLG</x:v>
      </x:c>
      <x:c r="C9" s="14" t="str">
        <x:v>creator</x:v>
      </x:c>
      <x:c r="D9" s="14" t="str">
        <x:v>core-webnlg</x:v>
      </x:c>
      <x:c r="E9" s="14" t="str">
        <x:v>Blockbuster_(comicsCharacter) | creator | Roger_Stern</x:v>
      </x:c>
      <x:c r="F9" s="14" t="str">
        <x:v>The comic character Blockbuster, also known as Roland Desmond, was created by Roger Stern and Tom Lyle.</x:v>
      </x:c>
      <x:c r="G9" s="14" t="str">
        <x:v>creative_relation [predicate_meaning; w=0.65]; person [subject_domain; w=0.25]; creative_work [object_domain; w=0.1]</x:v>
      </x:c>
      <x:c r="H9" s="22" t="str"/>
      <x:c r="I9" s="22" t="str"/>
      <x:c r="J9" s="22" t="str"/>
      <x:c r="K9" s="22" t="str"/>
      <x:c r="L9" s="22" t="str"/>
      <x:c r="M9" s="22" t="str"/>
      <x:c r="N9" s="22" t="str"/>
    </x:row>
    <x:row r="10" ht="72" customHeight="1">
      <x:c r="A10" s="14" t="str">
        <x:v>EV009</x:v>
      </x:c>
      <x:c r="B10" s="14" t="str">
        <x:v>WebNLG</x:v>
      </x:c>
      <x:c r="C10" s="14" t="str">
        <x:v>ground</x:v>
      </x:c>
      <x:c r="D10" s="14" t="str">
        <x:v>core-webnlg</x:v>
      </x:c>
      <x:c r="E10" s="14" t="str">
        <x:v>A.S._Gubbio_1910 | ground | Italy</x:v>
      </x:c>
      <x:c r="F10" s="14" t="str">
        <x:v>The full name of the Italian club AS Gubbio 1910 is "Associazione Sportiva Gubbio 1910 Srl". They played in the 2014 season and they have 5300 members.</x:v>
      </x:c>
      <x:c r="G10" s="14" t="str">
        <x:v>entity_relation [predicate_meaning; w=0.5]; person [subject_domain; w=0.2]; entity [object_domain; w=0.3]</x:v>
      </x:c>
      <x:c r="H10" s="22" t="str"/>
      <x:c r="I10" s="22" t="str"/>
      <x:c r="J10" s="22" t="str"/>
      <x:c r="K10" s="22" t="str"/>
      <x:c r="L10" s="22" t="str"/>
      <x:c r="M10" s="22" t="str"/>
      <x:c r="N10" s="22" t="str"/>
    </x:row>
    <x:row r="11" ht="72" customHeight="1">
      <x:c r="A11" s="14" t="str">
        <x:v>EV010</x:v>
      </x:c>
      <x:c r="B11" s="14" t="str">
        <x:v>WebNLG</x:v>
      </x:c>
      <x:c r="C11" s="14" t="str">
        <x:v>numberOfMembers</x:v>
      </x:c>
      <x:c r="D11" s="14" t="str">
        <x:v>core-webnlg</x:v>
      </x:c>
      <x:c r="E11" s="14" t="str">
        <x:v>A.S._Gubbio_1910 | numberOfMembers | 5300</x:v>
      </x:c>
      <x:c r="F11" s="14" t="str">
        <x:v>The full name of the Italian club AS Gubbio 1910 is "Associazione Sportiva Gubbio 1910 Srl". They played in the 2014 season and they have 5300 members.</x:v>
      </x:c>
      <x:c r="G11" s="14" t="str">
        <x:v>entity_relation [predicate_meaning; w=0.5]; organization [subject_domain; w=0.2]; quantity [object_domain; w=0.3]</x:v>
      </x:c>
      <x:c r="H11" s="22" t="str"/>
      <x:c r="I11" s="22" t="str"/>
      <x:c r="J11" s="22" t="str"/>
      <x:c r="K11" s="22" t="str"/>
      <x:c r="L11" s="22" t="str"/>
      <x:c r="M11" s="22" t="str"/>
      <x:c r="N11" s="22" t="str"/>
    </x:row>
    <x:row r="12" ht="72" customHeight="1">
      <x:c r="A12" s="14" t="str">
        <x:v>EV011</x:v>
      </x:c>
      <x:c r="B12" s="14" t="str">
        <x:v>WebNLG</x:v>
      </x:c>
      <x:c r="C12" s="14" t="str">
        <x:v>birthDate</x:v>
      </x:c>
      <x:c r="D12" s="14" t="str">
        <x:v>core-webnlg</x:v>
      </x:c>
      <x:c r="E12" s="14" t="str">
        <x:v>Alan_Martin_(footballer) | birthDate | 1989-01-01</x:v>
      </x:c>
      <x:c r="F12" s="14" t="str">
        <x:v>Alan Martin is a footballer who is 185.42 cm in height and was born on 1 January 1989. He plays for both Hamilton Academical FC and Crewe Alexandra FC.</x:v>
      </x:c>
      <x:c r="G12" s="14" t="str">
        <x:v>biographical_relation [predicate_meaning; w=0.5]; person [subject_domain; w=0.2]; time [object_domain; w=0.3]</x:v>
      </x:c>
      <x:c r="H12" s="22" t="str"/>
      <x:c r="I12" s="22" t="str"/>
      <x:c r="J12" s="22" t="str"/>
      <x:c r="K12" s="22" t="str"/>
      <x:c r="L12" s="22" t="str"/>
      <x:c r="M12" s="22" t="str"/>
      <x:c r="N12" s="22" t="str"/>
    </x:row>
    <x:row r="13" ht="72" customHeight="1">
      <x:c r="A13" s="14" t="str">
        <x:v>EV012</x:v>
      </x:c>
      <x:c r="B13" s="14" t="str">
        <x:v>WebNLG</x:v>
      </x:c>
      <x:c r="C13" s="14" t="str">
        <x:v>city</x:v>
      </x:c>
      <x:c r="D13" s="14" t="str">
        <x:v>core-webnlg</x:v>
      </x:c>
      <x:c r="E13" s="14" t="str">
        <x:v>Acharya_Institute_of_Technology | city | Bangalore</x:v>
      </x:c>
      <x:c r="F13" s="14" t="str">
        <x:v>The Acharya Institute of Technology is affiliated with the Visvesvaraya Technological University and is located in Bangalore, Karnataka. To its northeast is Telangana and to its west is the Arabian Sea.</x:v>
      </x:c>
      <x:c r="G13" s="14" t="str">
        <x:v>location_relation [predicate_meaning; w=0.7]; organization [subject_domain; w=0.2]; place [object_domain; w=0.1]</x:v>
      </x:c>
      <x:c r="H13" s="22" t="str"/>
      <x:c r="I13" s="22" t="str"/>
      <x:c r="J13" s="22" t="str"/>
      <x:c r="K13" s="22" t="str"/>
      <x:c r="L13" s="22" t="str"/>
      <x:c r="M13" s="22" t="str"/>
      <x:c r="N13" s="22" t="str"/>
    </x:row>
    <x:row r="14" ht="72" customHeight="1">
      <x:c r="A14" s="14" t="str">
        <x:v>EV013</x:v>
      </x:c>
      <x:c r="B14" s="14" t="str">
        <x:v>WebNLG</x:v>
      </x:c>
      <x:c r="C14" s="14" t="str">
        <x:v>leaderTitle</x:v>
      </x:c>
      <x:c r="D14" s="14" t="str">
        <x:v>core-webnlg</x:v>
      </x:c>
      <x:c r="E14" s="14" t="str">
        <x:v>Anaheim,_California | leaderTitle | United_States_House_of_Representatives</x:v>
      </x:c>
      <x:c r="F14" s="14" t="str">
        <x:v>Anaheim in California is led by the US based United States House of Representatives which is part of the United States Congress.</x:v>
      </x:c>
      <x:c r="G14" s="14" t="str">
        <x:v>political_relation [predicate_meaning; w=0.6]; entity [object_domain; w=0.2]; place [subject_domain; w=0.2]</x:v>
      </x:c>
      <x:c r="H14" s="22" t="str"/>
      <x:c r="I14" s="22" t="str"/>
      <x:c r="J14" s="22" t="str"/>
      <x:c r="K14" s="22" t="str"/>
      <x:c r="L14" s="22" t="str"/>
      <x:c r="M14" s="22" t="str"/>
      <x:c r="N14" s="22" t="str"/>
    </x:row>
    <x:row r="15" ht="72" customHeight="1">
      <x:c r="A15" s="14" t="str">
        <x:v>EV014</x:v>
      </x:c>
      <x:c r="B15" s="14" t="str">
        <x:v>WebNLG</x:v>
      </x:c>
      <x:c r="C15" s="14" t="str">
        <x:v>status</x:v>
      </x:c>
      <x:c r="D15" s="14" t="str">
        <x:v>core-webnlg</x:v>
      </x:c>
      <x:c r="E15" s="14" t="str">
        <x:v>Aleksey_Chirikov_(icebreaker) | status | "In service"</x:v>
      </x:c>
      <x:c r="F15" s="14" t="str">
        <x:v>Finland built the Aleksey Chirikov, icebreaker which has a 21.2 ship beam and was made in Helsinki. It is currently working.</x:v>
      </x:c>
      <x:c r="G15" s="14" t="str">
        <x:v>entity_relation [predicate_meaning; w=0.5]; person [subject_domain; w=0.2]; entity [object_domain; w=0.3]</x:v>
      </x:c>
      <x:c r="H15" s="22" t="str"/>
      <x:c r="I15" s="22" t="str"/>
      <x:c r="J15" s="22" t="str"/>
      <x:c r="K15" s="22" t="str"/>
      <x:c r="L15" s="22" t="str"/>
      <x:c r="M15" s="22" t="str"/>
      <x:c r="N15" s="22" t="str"/>
    </x:row>
    <x:row r="16" ht="72" customHeight="1">
      <x:c r="A16" s="14" t="str">
        <x:v>EV015</x:v>
      </x:c>
      <x:c r="B16" s="14" t="str">
        <x:v>WebNLG</x:v>
      </x:c>
      <x:c r="C16" s="14" t="str">
        <x:v>mediaType</x:v>
      </x:c>
      <x:c r="D16" s="14" t="str">
        <x:v>core-webnlg</x:v>
      </x:c>
      <x:c r="E16" s="14" t="str">
        <x:v>A_Severed_Wasp | mediaType | Hardcover</x:v>
      </x:c>
      <x:c r="F16" s="14" t="str">
        <x:v>A Severed Wasp was published in hardback and has 388 pages. The OCLC number of A Severed Wasp is 8805735 and the ISBN number of "0-374-26131-8".</x:v>
      </x:c>
      <x:c r="G16" s="14" t="str">
        <x:v>entity_relation [predicate_meaning; w=0.5]; creative_work [subject_domain; w=0.2]; entity [object_domain; w=0.3]</x:v>
      </x:c>
      <x:c r="H16" s="22" t="str"/>
      <x:c r="I16" s="22" t="str"/>
      <x:c r="J16" s="22" t="str"/>
      <x:c r="K16" s="22" t="str"/>
      <x:c r="L16" s="22" t="str"/>
      <x:c r="M16" s="22" t="str"/>
      <x:c r="N16" s="22" t="str"/>
    </x:row>
    <x:row r="17" ht="72" customHeight="1">
      <x:c r="A17" s="14" t="str">
        <x:v>EV016</x:v>
      </x:c>
      <x:c r="B17" s="14" t="str">
        <x:v>WebNLG</x:v>
      </x:c>
      <x:c r="C17" s="14" t="str">
        <x:v>occupation</x:v>
      </x:c>
      <x:c r="D17" s="14" t="str">
        <x:v>core-webnlg</x:v>
      </x:c>
      <x:c r="E17" s="14" t="str">
        <x:v>Alan_Shepard | occupation | Test_pilot</x:v>
      </x:c>
      <x:c r="F17" s="14" t="str">
        <x:v>American test pilot Alan Shepard died in California and was born in New Hampshire.</x:v>
      </x:c>
      <x:c r="G17" s="14" t="str">
        <x:v>biographical_relation [predicate_meaning; w=0.5]; person [subject_domain; w=0.2]; entity [object_domain; w=0.3]</x:v>
      </x:c>
      <x:c r="H17" s="22" t="str"/>
      <x:c r="I17" s="22" t="str"/>
      <x:c r="J17" s="22" t="str"/>
      <x:c r="K17" s="22" t="str"/>
      <x:c r="L17" s="22" t="str"/>
      <x:c r="M17" s="22" t="str"/>
      <x:c r="N17" s="22" t="str"/>
    </x:row>
    <x:row r="18" ht="72" customHeight="1">
      <x:c r="A18" s="14" t="str">
        <x:v>EV017</x:v>
      </x:c>
      <x:c r="B18" s="14" t="str">
        <x:v>WebNLG</x:v>
      </x:c>
      <x:c r="C18" s="14" t="str">
        <x:v>language</x:v>
      </x:c>
      <x:c r="D18" s="14" t="str">
        <x:v>core-webnlg</x:v>
      </x:c>
      <x:c r="E18" s="14" t="str">
        <x:v>Poland | language | Polish_language</x:v>
      </x:c>
      <x:c r="F18" s="14" t="str">
        <x:v>Adam Koc is from Poland, where Polish is spoken and where Kashubians are an ethnic group.</x:v>
      </x:c>
      <x:c r="G18" s="14" t="str">
        <x:v>language_relation [predicate_meaning; w=0.6]; place [background; w=0.3]; language [object_domain; w=0.1]</x:v>
      </x:c>
      <x:c r="H18" s="22" t="str"/>
      <x:c r="I18" s="22" t="str"/>
      <x:c r="J18" s="22" t="str"/>
      <x:c r="K18" s="22" t="str"/>
      <x:c r="L18" s="22" t="str"/>
      <x:c r="M18" s="22" t="str"/>
      <x:c r="N18" s="22" t="str"/>
    </x:row>
    <x:row r="19" ht="72" customHeight="1">
      <x:c r="A19" s="14" t="str">
        <x:v>EV018</x:v>
      </x:c>
      <x:c r="B19" s="14" t="str">
        <x:v>WebNLG</x:v>
      </x:c>
      <x:c r="C19" s="14" t="str">
        <x:v>nationality</x:v>
      </x:c>
      <x:c r="D19" s="14" t="str">
        <x:v>core-webnlg</x:v>
      </x:c>
      <x:c r="E19" s="14" t="str">
        <x:v>Adam_Koc | nationality | Poland</x:v>
      </x:c>
      <x:c r="F19" s="14" t="str">
        <x:v>Adam Koc is from Poland, where Polish is spoken and where Kashubians are an ethnic group.</x:v>
      </x:c>
      <x:c r="G19" s="14" t="str">
        <x:v>biographical_relation [predicate_meaning; w=0.6]; person [subject_domain; w=0.2]; place [object_domain; w=0.2]</x:v>
      </x:c>
      <x:c r="H19" s="22" t="str"/>
      <x:c r="I19" s="22" t="str"/>
      <x:c r="J19" s="22" t="str"/>
      <x:c r="K19" s="22" t="str"/>
      <x:c r="L19" s="22" t="str"/>
      <x:c r="M19" s="22" t="str"/>
      <x:c r="N19" s="22" t="str"/>
    </x:row>
    <x:row r="20" ht="72" customHeight="1">
      <x:c r="A20" s="14" t="str">
        <x:v>EV019</x:v>
      </x:c>
      <x:c r="B20" s="14" t="str">
        <x:v>WebNLG</x:v>
      </x:c>
      <x:c r="C20" s="14" t="str">
        <x:v>product</x:v>
      </x:c>
      <x:c r="D20" s="14" t="str">
        <x:v>core-webnlg</x:v>
      </x:c>
      <x:c r="E20" s="14" t="str">
        <x:v>Hypermarcas | product | Drugs</x:v>
      </x:c>
      <x:c r="F20" s="14" t="str">
        <x:v>The main product of Hypermarcas, which is located in São Paulo, is drugs.</x:v>
      </x:c>
      <x:c r="G20" s="14" t="str">
        <x:v>organizational_relation [predicate_meaning; w=0.5]; organization [subject_domain; w=0.2]; organization [object_domain; w=0.3]</x:v>
      </x:c>
      <x:c r="H20" s="22" t="str"/>
      <x:c r="I20" s="22" t="str"/>
      <x:c r="J20" s="22" t="str"/>
      <x:c r="K20" s="22" t="str"/>
      <x:c r="L20" s="22" t="str"/>
      <x:c r="M20" s="22" t="str"/>
      <x:c r="N20" s="22" t="str"/>
    </x:row>
    <x:row r="21" ht="72" customHeight="1">
      <x:c r="A21" s="14" t="str">
        <x:v>EV020</x:v>
      </x:c>
      <x:c r="B21" s="14" t="str">
        <x:v>WebNLG</x:v>
      </x:c>
      <x:c r="C21" s="14" t="str">
        <x:v>epoch</x:v>
      </x:c>
      <x:c r="D21" s="14" t="str">
        <x:v>core-webnlg</x:v>
      </x:c>
      <x:c r="E21" s="14" t="str">
        <x:v>107_Camilla | epoch | 2006-12-31</x:v>
      </x:c>
      <x:c r="F21" s="14" t="str">
        <x:v>N.R Pogson was born in Nottingham and discovered the 107 Camilla which has an epoch date of 31 December 2006.</x:v>
      </x:c>
      <x:c r="G21" s="14" t="str">
        <x:v>astronomical_relation [predicate_meaning; w=0.45]; time [value_domain; w=0.35]; entity [subject_domain; w=0.2]</x:v>
      </x:c>
      <x:c r="H21" s="22" t="str"/>
      <x:c r="I21" s="22" t="str"/>
      <x:c r="J21" s="22" t="str"/>
      <x:c r="K21" s="22" t="str"/>
      <x:c r="L21" s="22" t="str"/>
      <x:c r="M21" s="22" t="str"/>
      <x:c r="N21" s="22" t="str"/>
    </x:row>
    <x:row r="22" ht="72" customHeight="1">
      <x:c r="A22" s="14" t="str">
        <x:v>EV021</x:v>
      </x:c>
      <x:c r="B22" s="14" t="str">
        <x:v>WebNLG</x:v>
      </x:c>
      <x:c r="C22" s="14" t="str">
        <x:v>capital</x:v>
      </x:c>
      <x:c r="D22" s="14" t="str">
        <x:v>core-webnlg</x:v>
      </x:c>
      <x:c r="E22" s="14" t="str">
        <x:v>United_States | capital | Washington,_D.C.</x:v>
      </x:c>
      <x:c r="F22" s="14" t="str">
        <x:v>A Severed Wasp is from the United States which like Great Britain speaks English. The capital of the US is Washington D.C and one ethnic group is the African Americans.</x:v>
      </x:c>
      <x:c r="G22" s="14" t="str">
        <x:v>political_relation [predicate_meaning; w=0.6]; place [object_domain; w=0.3]; location_relation [modifier; w=0.1]</x:v>
      </x:c>
      <x:c r="H22" s="22" t="str"/>
      <x:c r="I22" s="22" t="str"/>
      <x:c r="J22" s="22" t="str"/>
      <x:c r="K22" s="22" t="str"/>
      <x:c r="L22" s="22" t="str"/>
      <x:c r="M22" s="22" t="str"/>
      <x:c r="N22" s="22" t="str"/>
    </x:row>
    <x:row r="23" ht="72" customHeight="1">
      <x:c r="A23" s="14" t="str">
        <x:v>EV022</x:v>
      </x:c>
      <x:c r="B23" s="14" t="str">
        <x:v>WebNLG</x:v>
      </x:c>
      <x:c r="C23" s="14" t="str">
        <x:v>deathPlace</x:v>
      </x:c>
      <x:c r="D23" s="14" t="str">
        <x:v>core-webnlg</x:v>
      </x:c>
      <x:c r="E23" s="14" t="str">
        <x:v>N._R._Pogson | deathPlace | Chennai</x:v>
      </x:c>
      <x:c r="F23" s="14" t="str">
        <x:v>N.R. Pogson was born in Nottingham and died in Chennai. He discovered the 107 Camilla asteroid on the 1st March 2001.</x:v>
      </x:c>
      <x:c r="G23" s="14" t="str">
        <x:v>biographical_relation [predicate_meaning; w=0.6]; person [subject_domain; w=0.2]; place [object_domain; w=0.2]</x:v>
      </x:c>
      <x:c r="H23" s="22" t="str"/>
      <x:c r="I23" s="22" t="str"/>
      <x:c r="J23" s="22" t="str"/>
      <x:c r="K23" s="22" t="str"/>
      <x:c r="L23" s="22" t="str"/>
      <x:c r="M23" s="22" t="str"/>
      <x:c r="N23" s="22" t="str"/>
    </x:row>
    <x:row r="24" ht="72" customHeight="1">
      <x:c r="A24" s="14" t="str">
        <x:v>EV023</x:v>
      </x:c>
      <x:c r="B24" s="14" t="str">
        <x:v>WebNLG</x:v>
      </x:c>
      <x:c r="C24" s="14" t="str">
        <x:v>region</x:v>
      </x:c>
      <x:c r="D24" s="14" t="str">
        <x:v>core-webnlg</x:v>
      </x:c>
      <x:c r="E24" s="14" t="str">
        <x:v>Bhajji | region | Karnataka</x:v>
      </x:c>
      <x:c r="F24" s="14" t="str">
        <x:v>Bhajji comes from the Karnataka region of India. Narendra Modi is a leader in India and Vajubhai Vala is also a leader.</x:v>
      </x:c>
      <x:c r="G24" s="14" t="str">
        <x:v>location_relation [predicate_meaning; w=0.6]; creative_work [subject_domain; w=0.2]; place [object_domain; w=0.2]</x:v>
      </x:c>
      <x:c r="H24" s="22" t="str"/>
      <x:c r="I24" s="22" t="str"/>
      <x:c r="J24" s="22" t="str"/>
      <x:c r="K24" s="22" t="str"/>
      <x:c r="L24" s="22" t="str"/>
      <x:c r="M24" s="22" t="str"/>
      <x:c r="N24" s="22" t="str"/>
    </x:row>
    <x:row r="25" ht="72" customHeight="1">
      <x:c r="A25" s="14" t="str">
        <x:v>EV024</x:v>
      </x:c>
      <x:c r="B25" s="14" t="str">
        <x:v>WebNLG</x:v>
      </x:c>
      <x:c r="C25" s="14" t="str">
        <x:v>ethnicGroup</x:v>
      </x:c>
      <x:c r="D25" s="14" t="str">
        <x:v>core-webnlg</x:v>
      </x:c>
      <x:c r="E25" s="14" t="str">
        <x:v>Poland | ethnicGroup | Kashubians</x:v>
      </x:c>
      <x:c r="F25" s="14" t="str">
        <x:v>Adam Koc is from Poland, where Polish is spoken and where Kashubians are an ethnic group.</x:v>
      </x:c>
      <x:c r="G25" s="14" t="str">
        <x:v>membership_relation [predicate_meaning; w=0.55]; place [subject_domain; w=0.25]; entity [object_domain; w=0.2]</x:v>
      </x:c>
      <x:c r="H25" s="22" t="str"/>
      <x:c r="I25" s="22" t="str"/>
      <x:c r="J25" s="22" t="str"/>
      <x:c r="K25" s="22" t="str"/>
      <x:c r="L25" s="22" t="str"/>
      <x:c r="M25" s="22" t="str"/>
      <x:c r="N25" s="22" t="str"/>
    </x:row>
    <x:row r="26" ht="72" customHeight="1">
      <x:c r="A26" s="14" t="str">
        <x:v>EV025</x:v>
      </x:c>
      <x:c r="B26" s="14" t="str">
        <x:v>WebNLG</x:v>
      </x:c>
      <x:c r="C26" s="14" t="str">
        <x:v>genre</x:v>
      </x:c>
      <x:c r="D26" s="14" t="str">
        <x:v>core-webnlg</x:v>
      </x:c>
      <x:c r="E26" s="14" t="str">
        <x:v>Allen_Forrest | genre | Acoustic_music</x:v>
      </x:c>
      <x:c r="F26" s="14" t="str">
        <x:v>Allen Forrest, a solo singer who performs acoustic music, was born in Fort Campbell, KY and was raised in the town of Dothan, AL.</x:v>
      </x:c>
      <x:c r="G26" s="14" t="str">
        <x:v>creative_relation [predicate_meaning; w=0.5]; person [subject_domain; w=0.3]; creative_work [object_domain; w=0.2]</x:v>
      </x:c>
      <x:c r="H26" s="22" t="str"/>
      <x:c r="I26" s="22" t="str"/>
      <x:c r="J26" s="22" t="str"/>
      <x:c r="K26" s="22" t="str"/>
      <x:c r="L26" s="22" t="str"/>
      <x:c r="M26" s="22" t="str"/>
      <x:c r="N26" s="22" t="str"/>
    </x:row>
    <x:row r="27" ht="72" customHeight="1">
      <x:c r="A27" s="14" t="str">
        <x:v>EV026</x:v>
      </x:c>
      <x:c r="B27" s="14" t="str">
        <x:v>WebNLG</x:v>
      </x:c>
      <x:c r="C27" s="14" t="str">
        <x:v>orbitalPeriod</x:v>
      </x:c>
      <x:c r="D27" s="14" t="str">
        <x:v>core-webnlg</x:v>
      </x:c>
      <x:c r="E27" s="14" t="str">
        <x:v>(19255)_1994_VK8 | orbitalPeriod | 8788850000.0</x:v>
      </x:c>
      <x:c r="F27" s="14" t="str">
        <x:v>(19255) 1994 VK8 has an orbital period of 8788850000.0 and a periapsis of 6155910000000.0. Its epoch is on 31 December 2006 and it has an escape velocity of 0.0925 kilometres per second.</x:v>
      </x:c>
      <x:c r="G27" s="14" t="str">
        <x:v>astronomical_relation [predicate_meaning; w=0.6]; measurement [predicate_meaning; w=0.2]; time [value_domain; w=0.2]</x:v>
      </x:c>
      <x:c r="H27" s="22" t="str"/>
      <x:c r="I27" s="22" t="str"/>
      <x:c r="J27" s="22" t="str"/>
      <x:c r="K27" s="22" t="str"/>
      <x:c r="L27" s="22" t="str"/>
      <x:c r="M27" s="22" t="str"/>
      <x:c r="N27" s="22" t="str"/>
    </x:row>
    <x:row r="28" ht="72" customHeight="1">
      <x:c r="A28" s="14" t="str">
        <x:v>EV027</x:v>
      </x:c>
      <x:c r="B28" s="14" t="str">
        <x:v>WebNLG</x:v>
      </x:c>
      <x:c r="C28" s="14" t="str">
        <x:v>populationDensity</x:v>
      </x:c>
      <x:c r="D28" s="14" t="str">
        <x:v>core-webnlg</x:v>
      </x:c>
      <x:c r="E28" s="14" t="str">
        <x:v>Brazil | populationDensity | 23.8</x:v>
      </x:c>
      <x:c r="F28" s="14" t="str">
        <x:v>Hypermarcas was founded January 1, 2001 as a pharmaceutical company primarily focusing on cosmetics. It's located in Brazil, which has as population density of 23.8.</x:v>
      </x:c>
      <x:c r="G28" s="14" t="str">
        <x:v>entity_relation [predicate_meaning; w=0.5]; organization [subject_domain; w=0.2]; quantity [object_domain; w=0.3]</x:v>
      </x:c>
      <x:c r="H28" s="22" t="str"/>
      <x:c r="I28" s="22" t="str"/>
      <x:c r="J28" s="22" t="str"/>
      <x:c r="K28" s="22" t="str"/>
      <x:c r="L28" s="22" t="str"/>
      <x:c r="M28" s="22" t="str"/>
      <x:c r="N28" s="22" t="str"/>
    </x:row>
    <x:row r="29" ht="72" customHeight="1">
      <x:c r="A29" s="14" t="str">
        <x:v>EV028</x:v>
      </x:c>
      <x:c r="B29" s="14" t="str">
        <x:v>WebNLG</x:v>
      </x:c>
      <x:c r="C29" s="14" t="str">
        <x:v>affiliation</x:v>
      </x:c>
      <x:c r="D29" s="14" t="str">
        <x:v>core-webnlg</x:v>
      </x:c>
      <x:c r="E29" s="14" t="str">
        <x:v>Acharya_Institute_of_Technology | affiliation | Visvesvaraya_Technological_University</x:v>
      </x:c>
      <x:c r="F29" s="14" t="str">
        <x:v>The Acharya Institute of Technology is affiliated with the Visvesvaraya Technological University and is located in Bangalore, Karnataka. To its northeast is Telangana and to its west is the Arabian Sea.</x:v>
      </x:c>
      <x:c r="G29" s="14" t="str">
        <x:v>membership_relation [predicate_meaning; w=0.65]; organization [subject_domain; w=0.2]; organization [object_domain; w=0.15]</x:v>
      </x:c>
      <x:c r="H29" s="22" t="str"/>
      <x:c r="I29" s="22" t="str"/>
      <x:c r="J29" s="22" t="str"/>
      <x:c r="K29" s="22" t="str"/>
      <x:c r="L29" s="22" t="str"/>
      <x:c r="M29" s="22" t="str"/>
      <x:c r="N29" s="22" t="str"/>
    </x:row>
    <x:row r="30" ht="72" customHeight="1">
      <x:c r="A30" s="14" t="str">
        <x:v>EV029</x:v>
      </x:c>
      <x:c r="B30" s="14" t="str">
        <x:v>WebNLG</x:v>
      </x:c>
      <x:c r="C30" s="14" t="str">
        <x:v>operator</x:v>
      </x:c>
      <x:c r="D30" s="14" t="str">
        <x:v>core-webnlg</x:v>
      </x:c>
      <x:c r="E30" s="14" t="str">
        <x:v>Apollo_11 | operator | NASA</x:v>
      </x:c>
      <x:c r="F30" s="14" t="str">
        <x:v>Buzz Aldrin graduated from Massachusetts Institute of Technology with a Sc.D in 1963 and became a fighter pilot. He was selected to work for NASA in 1963, and was chosen as a crew member of the NASA operated Apollo 11 mission. William Anders served there as a backup pilot.</x:v>
      </x:c>
      <x:c r="G30" s="14" t="str">
        <x:v>organizational_relation [predicate_meaning; w=0.5]; place [subject_domain; w=0.2]; organization [object_domain; w=0.3]</x:v>
      </x:c>
      <x:c r="H30" s="22" t="str"/>
      <x:c r="I30" s="22" t="str"/>
      <x:c r="J30" s="22" t="str"/>
      <x:c r="K30" s="22" t="str"/>
      <x:c r="L30" s="22" t="str"/>
      <x:c r="M30" s="22" t="str"/>
      <x:c r="N30" s="22" t="str"/>
    </x:row>
    <x:row r="31" ht="72" customHeight="1">
      <x:c r="A31" s="14" t="str">
        <x:v>EV030</x:v>
      </x:c>
      <x:c r="B31" s="14" t="str">
        <x:v>WebNLG</x:v>
      </x:c>
      <x:c r="C31" s="14" t="str">
        <x:v>manufacturer</x:v>
      </x:c>
      <x:c r="D31" s="14" t="str">
        <x:v>core-webnlg</x:v>
      </x:c>
      <x:c r="E31" s="14" t="str">
        <x:v>Audi_A1 | manufacturer | Audi</x:v>
      </x:c>
      <x:c r="F31" s="14" t="str">
        <x:v>Audi A1 is made by Audi who also own Ducati.</x:v>
      </x:c>
      <x:c r="G31" s="14" t="str">
        <x:v>entity_relation [predicate_meaning; w=0.5]; place [subject_domain; w=0.2]; entity [object_domain; w=0.3]</x:v>
      </x:c>
      <x:c r="H31" s="22" t="str"/>
      <x:c r="I31" s="22" t="str"/>
      <x:c r="J31" s="22" t="str"/>
      <x:c r="K31" s="22" t="str"/>
      <x:c r="L31" s="22" t="str"/>
      <x:c r="M31" s="22" t="str"/>
      <x:c r="N31" s="22" t="str"/>
    </x:row>
    <x:row r="32" ht="72" customHeight="1">
      <x:c r="A32" s="14" t="str">
        <x:v>EV031</x:v>
      </x:c>
      <x:c r="B32" s="14" t="str">
        <x:v>WebNLG</x:v>
      </x:c>
      <x:c r="C32" s="14" t="str">
        <x:v>broadcastedBy</x:v>
      </x:c>
      <x:c r="D32" s="14" t="str">
        <x:v>core-webnlg</x:v>
      </x:c>
      <x:c r="E32" s="14" t="str">
        <x:v>Bananaman | broadcastedBy | BBC</x:v>
      </x:c>
      <x:c r="F32" s="14" t="str">
        <x:v>Tony Hall, Baron Hall of Birkenhead, is a key person at the BBC which is located in London and broadcast Bananaman.</x:v>
      </x:c>
      <x:c r="G32" s="14" t="str">
        <x:v>entity_relation [predicate_meaning; w=0.5]; creative_work [subject_domain; w=0.2]; entity [object_domain; w=0.3]</x:v>
      </x:c>
      <x:c r="H32" s="22" t="str"/>
      <x:c r="I32" s="22" t="str"/>
      <x:c r="J32" s="22" t="str"/>
      <x:c r="K32" s="22" t="str"/>
      <x:c r="L32" s="22" t="str"/>
      <x:c r="M32" s="22" t="str"/>
      <x:c r="N32" s="22" t="str"/>
    </x:row>
    <x:row r="33" ht="72" customHeight="1">
      <x:c r="A33" s="14" t="str">
        <x:v>EV032</x:v>
      </x:c>
      <x:c r="B33" s="14" t="str">
        <x:v>WebNLG</x:v>
      </x:c>
      <x:c r="C33" s="14" t="str">
        <x:v>starring</x:v>
      </x:c>
      <x:c r="D33" s="14" t="str">
        <x:v>core-webnlg</x:v>
      </x:c>
      <x:c r="E33" s="14" t="str">
        <x:v>Bananaman | starring | Bill_Oddie</x:v>
      </x:c>
      <x:c r="F33" s="14" t="str">
        <x:v>Bill Oddie starred in Bananaman which first aired on 3 October 1983 and was broadcast by STV.</x:v>
      </x:c>
      <x:c r="G33" s="14" t="str">
        <x:v>creative_relation [predicate_meaning; w=0.6]; creative_work [subject_domain; w=0.2]; person [object_domain; w=0.2]</x:v>
      </x:c>
      <x:c r="H33" s="22" t="str"/>
      <x:c r="I33" s="22" t="str"/>
      <x:c r="J33" s="22" t="str"/>
      <x:c r="K33" s="22" t="str"/>
      <x:c r="L33" s="22" t="str"/>
      <x:c r="M33" s="22" t="str"/>
      <x:c r="N33" s="22" t="str"/>
    </x:row>
    <x:row r="34" ht="72" customHeight="1">
      <x:c r="A34" s="14" t="str">
        <x:v>EV033</x:v>
      </x:c>
      <x:c r="B34" s="14" t="str">
        <x:v>WebNLG</x:v>
      </x:c>
      <x:c r="C34" s="14" t="str">
        <x:v>author</x:v>
      </x:c>
      <x:c r="D34" s="14" t="str">
        <x:v>core-webnlg</x:v>
      </x:c>
      <x:c r="E34" s="14" t="str">
        <x:v>A_Wizard_of_Mars | author | Diane_Duane</x:v>
      </x:c>
      <x:c r="F34" s="14" t="str">
        <x:v>A Wizard of Mars, written by Diane Duane, is available in hardcover, has the ISBN number 978-0-15-204770-2 and the OCLC number 318875313.</x:v>
      </x:c>
      <x:c r="G34" s="14" t="str">
        <x:v>creative_relation [predicate_meaning; w=0.5]; creative_work [subject_domain; w=0.2]; person [object_domain; w=0.3]</x:v>
      </x:c>
      <x:c r="H34" s="22" t="str"/>
      <x:c r="I34" s="22" t="str"/>
      <x:c r="J34" s="22" t="str"/>
      <x:c r="K34" s="22" t="str"/>
      <x:c r="L34" s="22" t="str"/>
      <x:c r="M34" s="22" t="str"/>
      <x:c r="N34" s="22" t="str"/>
    </x:row>
    <x:row r="35" ht="72" customHeight="1">
      <x:c r="A35" s="14" t="str">
        <x:v>EV034</x:v>
      </x:c>
      <x:c r="B35" s="14" t="str">
        <x:v>WebNLG</x:v>
      </x:c>
      <x:c r="C35" s="14" t="str">
        <x:v>mission</x:v>
      </x:c>
      <x:c r="D35" s="14" t="str">
        <x:v>core-webnlg</x:v>
      </x:c>
      <x:c r="E35" s="14" t="str">
        <x:v>Buzz_Aldrin | mission | Apollo_11</x:v>
      </x:c>
      <x:c r="F35" s="14" t="str">
        <x:v>Buzz Aldrin graduated from Massachusetts Institute of Technology with a Sc.D in 1963 and became a fighter pilot. He was selected to work for NASA in 1963, and was chosen as a crew member of the NASA operated Apollo 11 mission. William Anders served there as a backup pilot.</x:v>
      </x:c>
      <x:c r="G35" s="14" t="str">
        <x:v>entity_relation [predicate_meaning; w=0.5]; person [subject_domain; w=0.3]; event [object_domain; w=0.2]</x:v>
      </x:c>
      <x:c r="H35" s="22" t="str"/>
      <x:c r="I35" s="22" t="str"/>
      <x:c r="J35" s="22" t="str"/>
      <x:c r="K35" s="22" t="str"/>
      <x:c r="L35" s="22" t="str"/>
      <x:c r="M35" s="22" t="str"/>
      <x:c r="N35" s="22" t="str"/>
    </x:row>
    <x:row r="36" ht="72" customHeight="1">
      <x:c r="A36" s="14" t="str">
        <x:v>EV035</x:v>
      </x:c>
      <x:c r="B36" s="14" t="str">
        <x:v>WebNLG</x:v>
      </x:c>
      <x:c r="C36" s="14" t="str">
        <x:v>currency</x:v>
      </x:c>
      <x:c r="D36" s="14" t="str">
        <x:v>core-webnlg</x:v>
      </x:c>
      <x:c r="E36" s="14" t="str">
        <x:v>United_Kingdom | currency | Pound_sterling</x:v>
      </x:c>
      <x:c r="F36" s="14" t="str">
        <x:v>20 Fenchurch Street is located within the United Kingdom, where London is the capital, and the currency is pounds sterling. Boris Johnson is the leader in London, and one of the leaders of the United Kingdom is Elizabeth II.</x:v>
      </x:c>
      <x:c r="G36" s="14" t="str">
        <x:v>entity_relation [predicate_meaning; w=0.5]; place [subject_domain; w=0.3]; entity [object_domain; w=0.2]</x:v>
      </x:c>
      <x:c r="H36" s="22" t="str"/>
      <x:c r="I36" s="22" t="str"/>
      <x:c r="J36" s="22" t="str"/>
      <x:c r="K36" s="22" t="str"/>
      <x:c r="L36" s="22" t="str"/>
      <x:c r="M36" s="22" t="str"/>
      <x:c r="N36" s="22" t="str"/>
    </x:row>
    <x:row r="37" ht="72" customHeight="1">
      <x:c r="A37" s="14" t="str">
        <x:v>EV036</x:v>
      </x:c>
      <x:c r="B37" s="14" t="str">
        <x:v>WebNLG</x:v>
      </x:c>
      <x:c r="C37" s="14" t="str">
        <x:v>established</x:v>
      </x:c>
      <x:c r="D37" s="14" t="str">
        <x:v>core-webnlg</x:v>
      </x:c>
      <x:c r="E37" s="14" t="str">
        <x:v>School of Business and Social Sciences at the Aarhus University | established | 1928</x:v>
      </x:c>
      <x:c r="F37" s="14" t="str">
        <x:v>The School of Business and Social Sciences at the Aarhus University was established in 1928. It has 737 academic staff and 16,000 students.</x:v>
      </x:c>
      <x:c r="G37" s="14" t="str">
        <x:v>entity_relation [predicate_meaning; w=0.6]; organization [subject_domain; w=0.2]; time [object_domain; w=0.2]</x:v>
      </x:c>
      <x:c r="H37" s="22" t="str"/>
      <x:c r="I37" s="22" t="str"/>
      <x:c r="J37" s="22" t="str"/>
      <x:c r="K37" s="22" t="str"/>
      <x:c r="L37" s="22" t="str"/>
      <x:c r="M37" s="22" t="str"/>
      <x:c r="N37" s="22" t="str"/>
    </x:row>
    <x:row r="38" ht="72" customHeight="1">
      <x:c r="A38" s="14" t="str">
        <x:v>EV037</x:v>
      </x:c>
      <x:c r="B38" s="14" t="str">
        <x:v>DrugProt</x:v>
      </x:c>
      <x:c r="C38" s="14" t="str">
        <x:v>chemical_activates_gene_or_protein</x:v>
      </x:c>
      <x:c r="D38" s="14" t="str">
        <x:v>biomedical-core</x:v>
      </x:c>
      <x:c r="E38" s="14" t="str">
        <x:v>Tomudex | chemical_activates_gene_or_protein | kinase</x:v>
      </x:c>
      <x:c r="F38" s="14" t="str">
        <x:v>Cyclin E-cdk2 activation is associated with cell cycle arrest and inhibition of DNA replication induced by the thymidylate synthase inhibitor Tomudex. Tomudex (ZD1694) is a specific antifolate-based thymidylate synthase inhibitor active in a variety of solid tumor malignancies. Studies were carried out in vitro to evaluate downstream molecular alterations induced as a consequence of the potent and sustained inhibition of thymidylate synthase by Tomudex. Twenty-four hours following the initial 2-h treatment with Tomudex, human A253 head and neck squamous carcinoma cells, not expressing p53 and p21(WAF1), were accumulated with DNA content characteristic of early S phase of the cell cycle with a concomitant reduction of cells in G1 and G2/M phases.…</x:v>
      </x:c>
      <x:c r="G38" s="14" t="str">
        <x:v>chemical [subject_domain; w=0.15]; gene_or_protein [object_domain; w=0.15]; activation_relation [predicate_meaning; w=0.3]; positive_polarity [modifier; w=0.2]; chemical_to_gene_or_protein_direction [modifier; w=0.1]; direct_evidence [modifier; w=0.1]</x:v>
      </x:c>
      <x:c r="H38" s="22" t="str"/>
      <x:c r="I38" s="22" t="str"/>
      <x:c r="J38" s="22" t="str"/>
      <x:c r="K38" s="22" t="str"/>
      <x:c r="L38" s="22" t="str"/>
      <x:c r="M38" s="22" t="str"/>
      <x:c r="N38" s="22" t="str"/>
    </x:row>
    <x:row r="39" ht="72" customHeight="1">
      <x:c r="A39" s="14" t="str">
        <x:v>EV038</x:v>
      </x:c>
      <x:c r="B39" s="14" t="str">
        <x:v>DrugProt</x:v>
      </x:c>
      <x:c r="C39" s="14" t="str">
        <x:v>chemical_inhibits_gene_or_protein</x:v>
      </x:c>
      <x:c r="D39" s="14" t="str">
        <x:v>biomedical-core</x:v>
      </x:c>
      <x:c r="E39" s="14" t="str">
        <x:v>tranylcypromine | chemical_inhibits_gene_or_protein | MAO</x:v>
      </x:c>
      <x:c r="F39" s="14" t="str">
        <x:v>…ype A, but not type B, is an effective means of inducing anticonvulsant activity in the kindling model of epilepsy. The anticonvulsant activity of inhibitors of monoamine oxidase (MAO) was reported early after the development of irreversible MAO inhibitors such as tranylcypromine, but was never clinically used because of the adverse effects of these compounds. The more recently developed reversible MAO inhibitors with selectivity for either the MAO-A or MAO-B isoenzyme forms have not been studied extensively in animal models of epilepsy, so it is not known which type of MAO inhibitor is particularly effective in this respect.…</x:v>
      </x:c>
      <x:c r="G39" s="14" t="str">
        <x:v>chemical [subject_domain; w=0.15]; gene_or_protein [object_domain; w=0.15]; inhibition_relation [predicate_meaning; w=0.3]; negative_polarity [modifier; w=0.2]; chemical_to_gene_or_protein_direction [modifier; w=0.1]; direct_evidence [modifier; w=0.1]</x:v>
      </x:c>
      <x:c r="H39" s="22" t="str"/>
      <x:c r="I39" s="22" t="str"/>
      <x:c r="J39" s="22" t="str"/>
      <x:c r="K39" s="22" t="str"/>
      <x:c r="L39" s="22" t="str"/>
      <x:c r="M39" s="22" t="str"/>
      <x:c r="N39" s="22" t="str"/>
    </x:row>
    <x:row r="40" ht="72" customHeight="1">
      <x:c r="A40" s="14" t="str">
        <x:v>EV039</x:v>
      </x:c>
      <x:c r="B40" s="14" t="str">
        <x:v>DrugProt</x:v>
      </x:c>
      <x:c r="C40" s="14" t="str">
        <x:v>chemical_directly_regulates_gene_or_protein</x:v>
      </x:c>
      <x:c r="D40" s="14" t="str">
        <x:v>biomedical-core</x:v>
      </x:c>
      <x:c r="E40" s="14" t="str">
        <x:v>estramustine phosphate | chemical_directly_regulates_gene_or_protein | androgen receptor</x:v>
      </x:c>
      <x:c r="F40" s="14" t="str">
        <x:v>Androgen antagonistic effect of estramustine phosphate (EMP) metabolites on wild-type and mutated androgen receptor. Estramustine phosphate is used frequently, alone or in combination with other antitumor agents, for the treatment of hormone-refractory prostate cancer. Estramustine phosphate is metabolically activated in vivo, and its metabolites, estramustine, estromustine, estrone, and beta-estradiol inhibit the assembly of microtubules [for review see: Kreis W, In: Concepts, Mechanisms, and New Targets for Chemotherapy (Ed.…</x:v>
      </x:c>
      <x:c r="G40" s="14" t="str">
        <x:v>chemical [subject_domain; w=0.15]; gene_or_protein [object_domain; w=0.15]; direct_regulation_relation [predicate_meaning; w=0.3]; neutral_biochemical_role [modifier; w=0.2]; chemical_to_gene_or_protein_direction [modifier; w=0.1]; direct_evidence [modifier; w=0.1]</x:v>
      </x:c>
      <x:c r="H40" s="22" t="str"/>
      <x:c r="I40" s="22" t="str"/>
      <x:c r="J40" s="22" t="str"/>
      <x:c r="K40" s="22" t="str"/>
      <x:c r="L40" s="22" t="str"/>
      <x:c r="M40" s="22" t="str"/>
      <x:c r="N40" s="22" t="str"/>
    </x:row>
    <x:row r="41" ht="72" customHeight="1">
      <x:c r="A41" s="14" t="str">
        <x:v>EV040</x:v>
      </x:c>
      <x:c r="B41" s="14" t="str">
        <x:v>DrugProt</x:v>
      </x:c>
      <x:c r="C41" s="14" t="str">
        <x:v>chemical_indirectly_upregulates_gene_or_protein</x:v>
      </x:c>
      <x:c r="D41" s="14" t="str">
        <x:v>biomedical-core</x:v>
      </x:c>
      <x:c r="E41" s="14" t="str">
        <x:v>Tomudex | chemical_indirectly_upregulates_gene_or_protein | cyclin E</x:v>
      </x:c>
      <x:c r="F41" s="14" t="str">
        <x:v>Cyclin E-cdk2 activation is associated with cell cycle arrest and inhibition of DNA replication induced by the thymidylate synthase inhibitor Tomudex. Tomudex (ZD1694) is a specific antifolate-based thymidylate synthase inhibitor active in a variety of solid tumor malignancies. Studies were carried out in vitro to evaluate downstream molecular alterations induced as a consequence of the potent and sustained inhibition of thymidylate synthase by Tomudex. Twenty-four hours following the initial 2-h treatment with Tomudex, human A253 head and neck squamous carcinoma cells, not expressing p53 and p21(WAF1), were accumulated with DNA content characteristic of early S phase of the cell cycle with a concomitant reduction of cells in G1 and G2/M phases.…</x:v>
      </x:c>
      <x:c r="G41" s="14" t="str">
        <x:v>chemical [subject_domain; w=0.15]; gene_or_protein [object_domain; w=0.15]; indirect_regulation_relation [predicate_meaning; w=0.3]; positive_polarity [modifier; w=0.2]; chemical_to_gene_or_protein_direction [modifier; w=0.1]; indirect_evidence [modifier; w=0.1]</x:v>
      </x:c>
      <x:c r="H41" s="22" t="str"/>
      <x:c r="I41" s="22" t="str"/>
      <x:c r="J41" s="22" t="str"/>
      <x:c r="K41" s="22" t="str"/>
      <x:c r="L41" s="22" t="str"/>
      <x:c r="M41" s="22" t="str"/>
      <x:c r="N41" s="22" t="str"/>
    </x:row>
    <x:row r="42" ht="72" customHeight="1">
      <x:c r="A42" s="14" t="str">
        <x:v>EV041</x:v>
      </x:c>
      <x:c r="B42" s="14" t="str">
        <x:v>DrugProt</x:v>
      </x:c>
      <x:c r="C42" s="14" t="str">
        <x:v>chemical_indirectly_downregulates_gene_or_protein</x:v>
      </x:c>
      <x:c r="D42" s="14" t="str">
        <x:v>biomedical-core</x:v>
      </x:c>
      <x:c r="E42" s="14" t="str">
        <x:v>Tomudex | chemical_indirectly_downregulates_gene_or_protein | p27(kip1)</x:v>
      </x:c>
      <x:c r="F42" s="14" t="str">
        <x:v>Cyclin E-cdk2 activation is associated with cell cycle arrest and inhibition of DNA replication induced by the thymidylate synthase inhibitor Tomudex. Tomudex (ZD1694) is a specific antifolate-based thymidylate synthase inhibitor active in a variety of solid tumor malignancies. Studies were carried out in vitro to evaluate downstream molecular alterations induced as a consequence of the potent and sustained inhibition of thymidylate synthase by Tomudex. Twenty-four hours following the initial 2-h treatment with Tomudex, human A253 head and neck squamous carcinoma cells, not expressing p53 and p21(WAF1), were accumulated with DNA content characteristic of early S phase of the cell cycle with a concomitant reduction of cells in G1 and G2/M phases.…</x:v>
      </x:c>
      <x:c r="G42" s="14" t="str">
        <x:v>chemical [subject_domain; w=0.15]; gene_or_protein [object_domain; w=0.15]; indirect_regulation_relation [predicate_meaning; w=0.3]; negative_polarity [modifier; w=0.2]; chemical_to_gene_or_protein_direction [modifier; w=0.1]; indirect_evidence [modifier; w=0.1]</x:v>
      </x:c>
      <x:c r="H42" s="22" t="str"/>
      <x:c r="I42" s="22" t="str"/>
      <x:c r="J42" s="22" t="str"/>
      <x:c r="K42" s="22" t="str"/>
      <x:c r="L42" s="22" t="str"/>
      <x:c r="M42" s="22" t="str"/>
      <x:c r="N42" s="22" t="str"/>
    </x:row>
    <x:row r="43" ht="72" customHeight="1">
      <x:c r="A43" s="14" t="str">
        <x:v>EV042</x:v>
      </x:c>
      <x:c r="B43" s="14" t="str">
        <x:v>DrugProt</x:v>
      </x:c>
      <x:c r="C43" s="14" t="str">
        <x:v>chemical_agonist_of_gene_or_protein</x:v>
      </x:c>
      <x:c r="D43" s="14" t="str">
        <x:v>biomedical-core</x:v>
      </x:c>
      <x:c r="E43" s="14" t="str">
        <x:v>hydroxyflutamide | chemical_agonist_of_gene_or_protein | AR</x:v>
      </x:c>
      <x:c r="F43" s="14" t="str">
        <x:v>…Estramustine phosphate is metabolically activated in vivo, and its metabolites, estramustine, estromustine, estrone, and beta-estradiol inhibit the assembly of microtubules [for review see: Kreis W, In: Concepts, Mechanisms, and New Targets for Chemotherapy (Ed. Muggia FM), pp. 163-184. Kluwer Academic Publishers, Boston, 1995]. We investigated, by displacement of [3H]methyltrienolone in the presence of 2.5 mM of triamcinolone acetonide, the binding of estramustine phosphate and its metabolites, estramustine, estromustine, estrone, and beta-estradiol, as well as other antiandrogen agents including alpha-estradiol, bicalutamide, and hydroxyflutamide, to the mutated androgen receptor (m-AR) in LNC…</x:v>
      </x:c>
      <x:c r="G43" s="14" t="str">
        <x:v>chemical [subject_domain; w=0.15]; gene_or_protein [object_domain; w=0.15]; agonist_relation [predicate_meaning; w=0.3]; positive_polarity [modifier; w=0.2]; chemical_to_gene_or_protein_direction [modifier; w=0.1]; direct_evidence [modifier; w=0.1]</x:v>
      </x:c>
      <x:c r="H43" s="22" t="str"/>
      <x:c r="I43" s="22" t="str"/>
      <x:c r="J43" s="22" t="str"/>
      <x:c r="K43" s="22" t="str"/>
      <x:c r="L43" s="22" t="str"/>
      <x:c r="M43" s="22" t="str"/>
      <x:c r="N43" s="22" t="str"/>
    </x:row>
    <x:row r="44" ht="72" customHeight="1">
      <x:c r="A44" s="14" t="str">
        <x:v>EV043</x:v>
      </x:c>
      <x:c r="B44" s="14" t="str">
        <x:v>DrugProt</x:v>
      </x:c>
      <x:c r="C44" s="14" t="str">
        <x:v>chemical_agonist_activator_of_gene_or_protein</x:v>
      </x:c>
      <x:c r="D44" s="14" t="str">
        <x:v>biomedical-core</x:v>
      </x:c>
      <x:c r="E44" s="14" t="str">
        <x:v>Lofentanil | chemical_agonist_activator_of_gene_or_protein | ORL1</x:v>
      </x:c>
      <x:c r="F44" s="14" t="str">
        <x:v>…rities between the nociceptin/orphanin FQ and opioid receptors. Nociceptin (orphanin FQ) is the recently discovered peptide agonist for the orphan receptor opioid receptor-like 1 (ORL1). Despite the high sequence homology between ORL1 and the opioid receptors, most opioids lack affinity for the nociceptin receptor. The affinity and functional profile of opioids possessing activity at the nociceptin receptor was determined using [3H]nociceptin and nociceptin-stimulated [35S]GTPgammaS binding. The mu-opioid receptor-selective agonist lofentanil potently and competitively displaced [3H]nociceptin at rat brain receptors (IC(50) 62 nM).…</x:v>
      </x:c>
      <x:c r="G44" s="14" t="str">
        <x:v>chemical [subject_domain; w=0.15]; gene_or_protein [object_domain; w=0.15]; agonist_relation [predicate_meaning; w=0.3]; positive_polarity [modifier; w=0.2]; chemical_to_gene_or_protein_direction [modifier; w=0.1]; direct_evidence [modifier; w=0.1]</x:v>
      </x:c>
      <x:c r="H44" s="22" t="str"/>
      <x:c r="I44" s="22" t="str"/>
      <x:c r="J44" s="22" t="str"/>
      <x:c r="K44" s="22" t="str"/>
      <x:c r="L44" s="22" t="str"/>
      <x:c r="M44" s="22" t="str"/>
      <x:c r="N44" s="22" t="str"/>
    </x:row>
    <x:row r="45" ht="72" customHeight="1">
      <x:c r="A45" s="14" t="str">
        <x:v>EV044</x:v>
      </x:c>
      <x:c r="B45" s="14" t="str">
        <x:v>DrugProt</x:v>
      </x:c>
      <x:c r="C45" s="14" t="str">
        <x:v>chemical_antagonist_of_gene_or_protein</x:v>
      </x:c>
      <x:c r="D45" s="14" t="str">
        <x:v>biomedical-core</x:v>
      </x:c>
      <x:c r="E45" s="14" t="str">
        <x:v>haloperidol | chemical_antagonist_of_gene_or_protein | dopamine D2 receptor</x:v>
      </x:c>
      <x:c r="F45" s="14" t="str">
        <x:v>…ffect is secondary to the observed increase in dopamine release, it was blocked by pretreatment either with the dopamine synthesis inhibitor alpha-methyl-para-tyrosine or with the dopamine D2 receptor antagonist haloperidol. In conclusion, the results suggest that mCPP induces a marked, TTX-insensitive increase in serotonin release in rat brain, but only a modest and TTX-sensitive increase in the extracellular levels of dopamine.</x:v>
      </x:c>
      <x:c r="G45" s="14" t="str">
        <x:v>chemical [subject_domain; w=0.15]; gene_or_protein [object_domain; w=0.15]; antagonist_relation [predicate_meaning; w=0.3]; negative_polarity [modifier; w=0.2]; chemical_to_gene_or_protein_direction [modifier; w=0.1]; direct_evidence [modifier; w=0.1]</x:v>
      </x:c>
      <x:c r="H45" s="22" t="str"/>
      <x:c r="I45" s="22" t="str"/>
      <x:c r="J45" s="22" t="str"/>
      <x:c r="K45" s="22" t="str"/>
      <x:c r="L45" s="22" t="str"/>
      <x:c r="M45" s="22" t="str"/>
      <x:c r="N45" s="22" t="str"/>
    </x:row>
    <x:row r="46" ht="72" customHeight="1">
      <x:c r="A46" s="14" t="str">
        <x:v>EV045</x:v>
      </x:c>
      <x:c r="B46" s="14" t="str">
        <x:v>DrugProt</x:v>
      </x:c>
      <x:c r="C46" s="14" t="str">
        <x:v>chemical_substrate_of_gene_or_protein</x:v>
      </x:c>
      <x:c r="D46" s="14" t="str">
        <x:v>biomedical-core</x:v>
      </x:c>
      <x:c r="E46" s="14" t="str">
        <x:v>aflatoxin-exo-8,9-epoxide | chemical_substrate_of_gene_or_protein | Alpha-class GSTs</x:v>
      </x:c>
      <x:c r="F46" s="14" t="str">
        <x:v>…utathione. The resulting models highlight two residues, at positions 208 and 108, that could be important for determining, either directly or indirectly, substrate specificity for aflatoxin-exo-8,9-epoxide among the Alpha-class GSTs. Residues at these positions were mutated in human GSTA1-1 (Met-208, Leu-108), rat GSTA3-3 (Glu-208, His-108) and rat GSTA5-5 (Asp-208, Tyr-108): in the active rat GSTA5-5 to those in the inactive GSTA1-1; and in the inactive human GSTA1-1 and rat GSTA3-3 to those in the active rat GSTA5-5. These studies show clearly that, in all three GSTs, an aspartate residue at position 208 is a prerequisite for high activity…</x:v>
      </x:c>
      <x:c r="G46" s="14" t="str">
        <x:v>chemical [subject_domain; w=0.15]; gene_or_protein [object_domain; w=0.15]; substrate_relation [predicate_meaning; w=0.3]; neutral_biochemical_role [modifier; w=0.2]; chemical_to_gene_or_protein_direction [modifier; w=0.1]; direct_evidence [modifier; w=0.1]</x:v>
      </x:c>
      <x:c r="H46" s="22" t="str"/>
      <x:c r="I46" s="22" t="str"/>
      <x:c r="J46" s="22" t="str"/>
      <x:c r="K46" s="22" t="str"/>
      <x:c r="L46" s="22" t="str"/>
      <x:c r="M46" s="22" t="str"/>
      <x:c r="N46" s="22" t="str"/>
    </x:row>
    <x:row r="47" ht="72" customHeight="1">
      <x:c r="A47" s="14" t="str">
        <x:v>EV046</x:v>
      </x:c>
      <x:c r="B47" s="14" t="str">
        <x:v>DrugProt</x:v>
      </x:c>
      <x:c r="C47" s="14" t="str">
        <x:v>chemical_product_of_gene_or_protein</x:v>
      </x:c>
      <x:c r="D47" s="14" t="str">
        <x:v>biomedical-core</x:v>
      </x:c>
      <x:c r="E47" s="14" t="str">
        <x:v>prostaglandin | chemical_product_of_gene_or_protein | cyclooxygenase 2</x:v>
      </x:c>
      <x:c r="F47" s="14" t="str">
        <x:v>Selective inhibition of cyclooxygenase 2 spares renal function and prostaglandin synthesis in cirrhotic rats with ascites. BACKGROUND &amp; AIMS: The critical role of cyclooxygenase (COX) products in maintenance of renal function in cirrhosis with ascites discourages the use of nonsteroidal anti-inflammatory drugs in this disease. The recent development of selective COX-2 inhibitors opens new avenues for the use of these compounds in decompensated cirrhosis. The current study evaluates the effects of a selective COX-2 inhibitor (SC-236) on renal function in cirrhotic rats with ascites.…</x:v>
      </x:c>
      <x:c r="G47" s="14" t="str">
        <x:v>chemical [subject_domain; w=0.15]; gene_or_protein [object_domain; w=0.15]; product_relation [predicate_meaning; w=0.3]; neutral_biochemical_role [modifier; w=0.2]; chemical_to_gene_or_protein_direction [modifier; w=0.1]; direct_evidence [modifier; w=0.1]</x:v>
      </x:c>
      <x:c r="H47" s="22" t="str"/>
      <x:c r="I47" s="22" t="str"/>
      <x:c r="J47" s="22" t="str"/>
      <x:c r="K47" s="22" t="str"/>
      <x:c r="L47" s="22" t="str"/>
      <x:c r="M47" s="22" t="str"/>
      <x:c r="N47" s="22" t="str"/>
    </x:row>
    <x:row r="48" ht="72" customHeight="1">
      <x:c r="A48" s="14" t="str">
        <x:v>EV047</x:v>
      </x:c>
      <x:c r="B48" s="14" t="str">
        <x:v>DrugProt</x:v>
      </x:c>
      <x:c r="C48" s="14" t="str">
        <x:v>chemical_substrate_product_of_gene_or_protein</x:v>
      </x:c>
      <x:c r="D48" s="14" t="str">
        <x:v>biomedical-core</x:v>
      </x:c>
      <x:c r="E48" s="14" t="str">
        <x:v>glutamine | chemical_substrate_product_of_gene_or_protein | KATI</x:v>
      </x:c>
      <x:c r="F48" s="14" t="str">
        <x:v>Tissue expression and translational control of rat kynurenine aminotransferase/glutamine transaminase K mRNAs. Kynurenic acid (KA) is an endogenous glutamate receptor antagonist at the level of the different ionotropic glutamate receptors. One of the enzymes responsible for the production of KA, kynurenine aminotransferase I (KATI), also catalyses the reversible transamination of glutamine to oxoglutaramic acid (GTK, EC 2.6.1.15). The enzyme exists in a cytosolic and in a mitochondrial form because of the presence of two different KATI mRNAs coding for a protein respectively with and without leader sequence targeting the protein into mitochondria.…</x:v>
      </x:c>
      <x:c r="G48" s="14" t="str">
        <x:v>chemical [subject_domain; w=0.15]; gene_or_protein [object_domain; w=0.15]; substrate_relation [predicate_meaning; w=0.3]; neutral_biochemical_role [modifier; w=0.2]; chemical_to_gene_or_protein_direction [modifier; w=0.1]; direct_evidence [modifier; w=0.1]</x:v>
      </x:c>
      <x:c r="H48" s="22" t="str"/>
      <x:c r="I48" s="22" t="str"/>
      <x:c r="J48" s="22" t="str"/>
      <x:c r="K48" s="22" t="str"/>
      <x:c r="L48" s="22" t="str"/>
      <x:c r="M48" s="22" t="str"/>
      <x:c r="N48" s="22" t="str"/>
    </x:row>
    <x:row r="49" ht="72" customHeight="1">
      <x:c r="A49" s="14" t="str">
        <x:v>EV048</x:v>
      </x:c>
      <x:c r="B49" s="14" t="str">
        <x:v>DrugProt</x:v>
      </x:c>
      <x:c r="C49" s="14" t="str">
        <x:v>part_of_relation</x:v>
      </x:c>
      <x:c r="D49" s="14" t="str">
        <x:v>biomedical-core</x:v>
      </x:c>
      <x:c r="E49" s="14" t="str">
        <x:v>amino acids | part_of_relation | MWFE</x:v>
      </x:c>
      <x:c r="F49" s="14" t="str">
        <x:v>The NDUFA1 gene product (MWFE protein) is essential for activity of complex I in mammalian mitochondria. The MWFE polypeptide of mammalian complex I (the proton-translocating NADH-quinone oxidoreductase) is 70 amino acids long, and it is predicted to be a membrane protein. The NDUFA1 gene encoding the MWFE polypeptide is located on the X chromosome. This polypeptide is 1 of approximately 28 "accessory proteins" identified in complex I, which is composed of 42 unlike subunits. It was considered accessory, because it is not one of the 14 polypeptides making up the core complex I; a homologous set of 14 polypeptides can make a fully functional proton-translocating NADH-quinone oxidoreductase in prokaryotes.…</x:v>
      </x:c>
      <x:c r="G49" s="14" t="str">
        <x:v>chemical [subject_domain; w=0.15]; gene_or_protein [object_domain; w=0.15]; part_whole_relation [predicate_meaning; w=0.3]; neutral_biochemical_role [modifier; w=0.2]; chemical_to_gene_or_protein_direction [modifier; w=0.1]; direct_evidence [modifier; w=0.1]</x:v>
      </x:c>
      <x:c r="H49" s="22" t="str"/>
      <x:c r="I49" s="22" t="str"/>
      <x:c r="J49" s="22" t="str"/>
      <x:c r="K49" s="22" t="str"/>
      <x:c r="L49" s="22" t="str"/>
      <x:c r="M49" s="22" t="str"/>
      <x:c r="N49" s="22" t="str"/>
    </x:row>
    <x:row r="50" ht="72" customHeight="1">
      <x:c r="A50" s="14" t="str">
        <x:v>EV049</x:v>
      </x:c>
      <x:c r="B50" s="14" t="str">
        <x:v>BC5CDR</x:v>
      </x:c>
      <x:c r="C50" s="14" t="str">
        <x:v>chemical_disease_interaction</x:v>
      </x:c>
      <x:c r="D50" s="14" t="str">
        <x:v>biomedical-causality</x:v>
      </x:c>
      <x:c r="E50" s="14" t="str">
        <x:v>lithium carbonate | chemical_disease_interaction | cyanosis</x:v>
      </x:c>
      <x:c r="F50" s="14" t="str">
        <x:v>Tricuspid valve regurgitation and lithium carbonate toxicity in a newborn infant. A newborn with massive tricuspid regurgitation, atrial flutter, congestive heart failure, and a high serum lithium level is described. This is the first patient to initially manifest tricuspid regurgitation and atrial flutter, and the 11th described patient with cardiac disease among infants exposed to lithium compounds in the first trimester of pregnancy. Sixty-three percent of these infants had tricuspid valve involvement. Lithium carbonate may be a factor in the increasing incidence of congenital heart disease when taken during early pregnancy.…</x:v>
      </x:c>
      <x:c r="G50" s="14" t="str">
        <x:v>chemical [subject_domain; w=0.2]; disease [object_domain; w=0.2]; chemical_induced_disease_relation [predicate_meaning; w=0.3]; causal_polarity [modifier; w=0.15]; document_level_evidence [modifier; w=0.1]; chemical_to_disease_direction [modifier; w=0.05]</x:v>
      </x:c>
      <x:c r="H50" s="22" t="str"/>
      <x:c r="I50" s="22" t="str"/>
      <x:c r="J50" s="22" t="str"/>
      <x:c r="K50" s="22" t="str"/>
      <x:c r="L50" s="22" t="str"/>
      <x:c r="M50" s="22" t="str"/>
      <x:c r="N50" s="22" t="str"/>
    </x:row>
    <x:row r="51" ht="72" customHeight="1">
      <x:c r="A51" s="14" t="str">
        <x:v>EV050</x:v>
      </x:c>
      <x:c r="B51" s="14" t="str">
        <x:v>BC5CDR</x:v>
      </x:c>
      <x:c r="C51" s="14" t="str">
        <x:v>chemical_disease_interaction</x:v>
      </x:c>
      <x:c r="D51" s="14" t="str">
        <x:v>biomedical-causality</x:v>
      </x:c>
      <x:c r="E51" s="14" t="str">
        <x:v>Phenobarbital | chemical_disease_interaction | dyskinesia</x:v>
      </x:c>
      <x:c r="F51" s="14" t="str">
        <x:v>Phenobarbital-induced dyskinesia in a neurologically-impaired child. A 2-year-old child with known neurologic impairment developed a dyskinesia soon after starting phenobarbital therapy for seizures. Known causes of movement disorders were eliminated after evaluation. On repeat challenge with phenobarbital, the dyskinesia recurred. Phenobarbital should be added to the list of anticonvulsant drugs that can cause movement disorders.</x:v>
      </x:c>
      <x:c r="G51" s="14" t="str">
        <x:v>chemical [subject_domain; w=0.2]; disease [object_domain; w=0.2]; chemical_induced_disease_relation [predicate_meaning; w=0.3]; causal_polarity [modifier; w=0.15]; document_level_evidence [modifier; w=0.1]; chemical_to_disease_direction [modifier; w=0.05]</x:v>
      </x:c>
      <x:c r="H51" s="22" t="str"/>
      <x:c r="I51" s="22" t="str"/>
      <x:c r="J51" s="22" t="str"/>
      <x:c r="K51" s="22" t="str"/>
      <x:c r="L51" s="22" t="str"/>
      <x:c r="M51" s="22" t="str"/>
      <x:c r="N51" s="22" t="str"/>
    </x:row>
  </x:sheetData>
  <x:conditionalFormatting sqref="H2:H51">
    <x:cfRule type="expression" dxfId="0" priority="1">
      <x:formula>H2="yes"</x:formula>
    </x:cfRule>
    <x:cfRule type="expression" dxfId="1" priority="2">
      <x:formula>H2="partly"</x:formula>
    </x:cfRule>
    <x:cfRule type="expression" dxfId="2" priority="3">
      <x:formula>H2="no"</x:formula>
    </x:cfRule>
    <x:cfRule type="expression" dxfId="3" priority="4">
      <x:formula>H2="unclear"</x:formula>
    </x:cfRule>
  </x:conditionalFormatting>
  <x:conditionalFormatting sqref="K2:L51">
    <x:cfRule type="expression" dxfId="4" priority="5">
      <x:formula>K2="yes"</x:formula>
    </x:cfRule>
    <x:cfRule type="expression" dxfId="5" priority="6">
      <x:formula>K2="partly"</x:formula>
    </x:cfRule>
    <x:cfRule type="expression" dxfId="6" priority="7">
      <x:formula>K2="no"</x:formula>
    </x:cfRule>
  </x:conditionalFormatting>
  <x:dataValidations count="3">
    <x:dataValidation type="list" sqref="H2:H51">
      <x:formula1>"yes,partly,no,unclear"</x:formula1>
    </x:dataValidation>
    <x:dataValidation type="list" sqref="K2:K51">
      <x:formula1>"yes,partly,no,not_applicable,unclear"</x:formula1>
    </x:dataValidation>
    <x:dataValidation type="list" sqref="L2:L51">
      <x:formula1>"yes,partly,no,not_applicable,unclear"</x:formula1>
    </x:dataValidation>
  </x:dataValidations>
  <x:pageMargins left="0.7" right="0.7" top="0.75" bottom="0.75" header="0.3" footer="0.3"/>
  <x:tableParts count="1">
    <x:tablePart xmlns:r="http://schemas.openxmlformats.org/officeDocument/2006/relationships" r:id="R3ac4039caa164226"/>
  </x:tableParts>
</x:worksheet>
</file>

<file path=xl/worksheets/sheet2.xml><?xml version="1.0" encoding="utf-8"?>
<x:worksheet xmlns:x="http://schemas.openxmlformats.org/spreadsheetml/2006/main">
  <x:sheetFormatPr defaultRowHeight="15"/>
  <x:cols>
    <x:col min="1" max="1" width="100" hidden="0" customWidth="1"/>
  </x:cols>
  <x:sheetData>
    <x:row r="1" ht="28" customHeight="1">
      <x:c r="A1" s="38" t="str">
        <x:v>Expert review: predicate-factor inventory</x:v>
      </x:c>
    </x:row>
    <x:row r="2" ht="28" customHeight="1">
      <x:c r="A2" s="39" t="str"/>
    </x:row>
    <x:row r="3" ht="28" customHeight="1">
      <x:c r="A3" s="40" t="str">
        <x:v>Purpose</x:v>
      </x:c>
    </x:row>
    <x:row r="4" ht="28" customHeight="1">
      <x:c r="A4" s="39" t="str">
        <x:v>We are validating whether each graph predicate is decomposed into correct semantic factors. This is not an evaluation of the whole paper, the generated text, or any model.</x:v>
      </x:c>
    </x:row>
    <x:row r="5" ht="28" customHeight="1">
      <x:c r="A5" s="39" t="str"/>
    </x:row>
    <x:row r="6" ht="28" customHeight="1">
      <x:c r="A6" s="40" t="str">
        <x:v>Task</x:v>
      </x:c>
    </x:row>
    <x:row r="7" ht="28" customHeight="1">
      <x:c r="A7" s="39" t="str">
        <x:v>For each row in the Review sheet, read predicate, example_triple, example_text, and proposed_factors. Then fill only the yellow columns.</x:v>
      </x:c>
    </x:row>
    <x:row r="8" ht="28" customHeight="1">
      <x:c r="A8" s="39" t="str"/>
    </x:row>
    <x:row r="9" ht="28" customHeight="1">
      <x:c r="A9" s="40" t="str">
        <x:v>Required fields</x:v>
      </x:c>
    </x:row>
    <x:row r="10" ht="28" customHeight="1">
      <x:c r="A10" s="39" t="str">
        <x:v>verdict: yes / partly / no / unclear</x:v>
      </x:c>
    </x:row>
    <x:row r="11" ht="28" customHeight="1">
      <x:c r="A11" s="39" t="str">
        <x:v>missing_factors: write missing semantic factors, or leave empty</x:v>
      </x:c>
    </x:row>
    <x:row r="12" ht="28" customHeight="1">
      <x:c r="A12" s="39" t="str">
        <x:v>wrong_or_extra_factors: write incorrect or excessive factors, or leave empty</x:v>
      </x:c>
    </x:row>
    <x:row r="13" ht="28" customHeight="1">
      <x:c r="A13" s="39" t="str">
        <x:v>direction_or_role_ok: yes / partly / no / not_applicable / unclear</x:v>
      </x:c>
    </x:row>
    <x:row r="14" ht="28" customHeight="1">
      <x:c r="A14" s="39" t="str">
        <x:v>polarity_ok: yes / partly / no / not_applicable / unclear</x:v>
      </x:c>
    </x:row>
    <x:row r="15" ht="28" customHeight="1">
      <x:c r="A15" s="39" t="str">
        <x:v>suggested_fix: optional replacement or correction</x:v>
      </x:c>
    </x:row>
    <x:row r="16" ht="28" customHeight="1">
      <x:c r="A16" s="39" t="str">
        <x:v>comment: optional short note</x:v>
      </x:c>
    </x:row>
    <x:row r="17" ht="28" customHeight="1">
      <x:c r="A17" s="39" t="str"/>
    </x:row>
    <x:row r="18" ht="28" customHeight="1">
      <x:c r="A18" s="40" t="str">
        <x:v>Review principle</x:v>
      </x:c>
    </x:row>
    <x:row r="19" ht="28" customHeight="1">
      <x:c r="A19" s="39" t="str">
        <x:v>Factors should be sufficient to distinguish the predicate from close predicates, but not overly detailed. Do not evaluate weights unless the factor itself is clearly wrong because of the weight notation.</x:v>
      </x:c>
    </x:row>
    <x:row r="20" ht="28" customHeight="1">
      <x:c r="A20" s="39" t="str"/>
    </x:row>
    <x:row r="21" ht="28" customHeight="1">
      <x:c r="A21" s="40" t="str">
        <x:v>Time budget</x:v>
      </x:c>
    </x:row>
    <x:row r="22" ht="28" customHeight="1">
      <x:c r="A22" s="39" t="str">
        <x:v>The sample has 50 rows and is intended for 2–3 days of expert review. Partial completion is acceptable; leave untouched rows empty.</x:v>
      </x:c>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38" hidden="0" customWidth="1"/>
    <x:col min="2" max="2" width="80" hidden="0" customWidth="1"/>
  </x:cols>
  <x:sheetData>
    <x:row r="1" ht="28" customHeight="1">
      <x:c r="A1" s="4" t="str">
        <x:v>Field</x:v>
      </x:c>
      <x:c r="B1" s="4" t="str">
        <x:v>Allowed values / meaning</x:v>
      </x:c>
    </x:row>
    <x:row r="2" ht="28" customHeight="1">
      <x:c r="A2" s="39" t="str">
        <x:v>verdict</x:v>
      </x:c>
      <x:c r="B2" s="39" t="str">
        <x:v>yes = factorization is acceptable; partly = mostly acceptable but needs edits; no = wrong; unclear = cannot decide</x:v>
      </x:c>
    </x:row>
    <x:row r="3" ht="28" customHeight="1">
      <x:c r="A3" s="39" t="str">
        <x:v>direction_or_role_ok</x:v>
      </x:c>
      <x:c r="B3" s="39" t="str">
        <x:v>yes / partly / no / not_applicable / unclear</x:v>
      </x:c>
    </x:row>
    <x:row r="4" ht="28" customHeight="1">
      <x:c r="A4" s="39" t="str">
        <x:v>polarity_ok</x:v>
      </x:c>
      <x:c r="B4" s="39" t="str">
        <x:v>yes / partly / no / not_applicable / unclear</x:v>
      </x:c>
    </x:row>
    <x:row r="5" ht="28" customHeight="1">
      <x:c r="A5" s="39" t="str">
        <x:v>missing_factors</x:v>
      </x:c>
      <x:c r="B5" s="39" t="str">
        <x:v>Free text. Name factors that should be added.</x:v>
      </x:c>
    </x:row>
    <x:row r="6" ht="28" customHeight="1">
      <x:c r="A6" s="39" t="str">
        <x:v>wrong_or_extra_factors</x:v>
      </x:c>
      <x:c r="B6" s="39" t="str">
        <x:v>Free text. Name factors that should be removed or corrected.</x:v>
      </x:c>
    </x:row>
    <x:row r="7" ht="28" customHeight="1">
      <x:c r="A7" s="39" t="str">
        <x:v>suggested_fix</x:v>
      </x:c>
      <x:c r="B7" s="39" t="str">
        <x:v>Free text. Short corrected factorization if easy.</x:v>
      </x:c>
    </x:row>
    <x:row r="8" ht="28" customHeight="1">
      <x:c r="A8" s="39" t="str">
        <x:v>comment</x:v>
      </x:c>
      <x:c r="B8" s="39" t="str">
        <x:v>Free text. Any short explanation.</x:v>
      </x:c>
    </x:row>
    <x:row r="9" ht="28" customHeight="1">
      <x:c r="A9" s="39" t="str"/>
      <x:c r="B9" s="39" t="str"/>
    </x:row>
    <x:row r="10" ht="28" customHeight="1">
      <x:c r="A10" s="39" t="str">
        <x:v>Example good row</x:v>
      </x:c>
      <x:c r="B10" s="39" t="str"/>
    </x:row>
    <x:row r="11" ht="28" customHeight="1">
      <x:c r="A11" s="39" t="str">
        <x:v>predicate</x:v>
      </x:c>
      <x:c r="B11" s="39" t="str">
        <x:v>birthPlace</x:v>
      </x:c>
    </x:row>
    <x:row r="12" ht="28" customHeight="1">
      <x:c r="A12" s="39" t="str">
        <x:v>proposed_factors</x:v>
      </x:c>
      <x:c r="B12" s="39" t="str">
        <x:v>person-like subject; biographical relation; place-like object</x:v>
      </x:c>
    </x:row>
    <x:row r="13" ht="28" customHeight="1">
      <x:c r="A13" s="39" t="str">
        <x:v>verdict</x:v>
      </x:c>
      <x:c r="B13" s="39" t="str">
        <x:v>yes</x:v>
      </x:c>
    </x:row>
    <x:row r="14" ht="28" customHeight="1">
      <x:c r="A14" s="39" t="str">
        <x:v>direction_or_role_ok</x:v>
      </x:c>
      <x:c r="B14" s="39" t="str">
        <x:v>yes</x:v>
      </x:c>
    </x:row>
    <x:row r="15" ht="28" customHeight="1">
      <x:c r="A15" s="39" t="str">
        <x:v>polarity_ok</x:v>
      </x:c>
      <x:c r="B15" s="39" t="str">
        <x:v>not_applicable</x:v>
      </x:c>
    </x:row>
    <x:row r="16" ht="28" customHeight="1">
      <x:c r="A16" s="39" t="str"/>
      <x:c r="B16" s="39" t="str"/>
    </x:row>
    <x:row r="17" ht="28" customHeight="1">
      <x:c r="A17" s="39" t="str">
        <x:v>Example correction</x:v>
      </x:c>
      <x:c r="B17" s="39" t="str"/>
    </x:row>
    <x:row r="18" ht="28" customHeight="1">
      <x:c r="A18" s="39" t="str">
        <x:v>predicate</x:v>
      </x:c>
      <x:c r="B18" s="39" t="str">
        <x:v>chemical_inhibits_gene_or_protein</x:v>
      </x:c>
    </x:row>
    <x:row r="19" ht="28" customHeight="1">
      <x:c r="A19" s="39" t="str">
        <x:v>wrong_or_extra_factors</x:v>
      </x:c>
      <x:c r="B19" s="39" t="str">
        <x:v>activation is wrong; should be inhibition / negative regulation</x:v>
      </x:c>
    </x:row>
    <x:row r="20" ht="28" customHeight="1">
      <x:c r="A20" s="39" t="str">
        <x:v>suggested_fix</x:v>
      </x:c>
      <x:c r="B20" s="39" t="str">
        <x:v>chemical actor; gene/protein target; inhibition; negative regulation; direction</x:v>
      </x:c>
    </x:row>
  </x:sheetData>
  <x:pageMargins left="0.7" right="0.7" top="0.75" bottom="0.75" header="0.3" footer="0.3"/>
</x:worksheet>
</file>

<file path=xl/worksheets/sheet4.xml><?xml version="1.0" encoding="utf-8"?>
<x:worksheet xmlns:x="http://schemas.openxmlformats.org/spreadsheetml/2006/main">
  <x:sheetFormatPr defaultRowHeight="15"/>
  <x:cols>
    <x:col min="1" max="1" width="26" hidden="0" customWidth="1"/>
    <x:col min="2" max="2" width="18" hidden="0" customWidth="1"/>
  </x:cols>
  <x:sheetData>
    <x:row r="1">
      <x:c r="A1" s="27" t="str">
        <x:v>Expert validation progress</x:v>
      </x:c>
      <x:c r="B1" s="27" t="str"/>
    </x:row>
    <x:row r="2">
      <x:c r="A2" s="30" t="str">
        <x:v>Total rows</x:v>
      </x:c>
      <x:c r="B2" t="n">
        <x:f>COUNTA(Review!A2:A51)</x:f>
        <x:v>50</x:v>
      </x:c>
    </x:row>
    <x:row r="3">
      <x:c r="A3" s="30" t="str">
        <x:v>Completed verdicts</x:v>
      </x:c>
      <x:c r="B3" t="n">
        <x:f>COUNTIF(Review!H2:H51,"yes")+COUNTIF(Review!H2:H51,"partly")+COUNTIF(Review!H2:H51,"no")+COUNTIF(Review!H2:H51,"unclear")</x:f>
        <x:v>0</x:v>
      </x:c>
    </x:row>
    <x:row r="4">
      <x:c r="A4" s="30" t="str">
        <x:v>Accepted (yes)</x:v>
      </x:c>
      <x:c r="B4" t="n">
        <x:f>COUNTIF(Review!H2:H51,"yes")</x:f>
        <x:v>0</x:v>
      </x:c>
    </x:row>
    <x:row r="5">
      <x:c r="A5" s="30" t="str">
        <x:v>Partly accepted</x:v>
      </x:c>
      <x:c r="B5" t="n">
        <x:f>COUNTIF(Review!H2:H51,"partly")</x:f>
        <x:v>0</x:v>
      </x:c>
    </x:row>
    <x:row r="6">
      <x:c r="A6" s="30" t="str">
        <x:v>Rejected (no)</x:v>
      </x:c>
      <x:c r="B6" t="n">
        <x:f>COUNTIF(Review!H2:H51,"no")</x:f>
        <x:v>0</x:v>
      </x:c>
    </x:row>
    <x:row r="7">
      <x:c r="A7" s="30" t="str">
        <x:v>Unclear</x:v>
      </x:c>
      <x:c r="B7" t="n">
        <x:f>COUNTIF(Review!H2:H51,"unclear")</x:f>
        <x:v>0</x:v>
      </x:c>
    </x:row>
    <x:row r="8">
      <x:c r="A8" s="30" t="str">
        <x:v>Accept rate</x:v>
      </x:c>
      <x:c r="B8" s="32" t="n">
        <x:f>IF(B2=0,"",B4/B2)</x:f>
        <x:v>0</x:v>
      </x:c>
    </x:row>
    <x:row r="9">
      <x:c r="A9" s="30" t="str">
        <x:v>Wrong/extra factors noted</x:v>
      </x:c>
      <x:c r="B9" t="n">
        <x:f>COUNTIF(Review!J2:J51,"?*")</x:f>
        <x:v>0</x:v>
      </x:c>
    </x:row>
    <x:row r="10">
      <x:c r="A10" s="30" t="str">
        <x:v>Missing factors noted</x:v>
      </x:c>
      <x:c r="B10" t="n">
        <x:f>COUNTIF(Review!I2:I51,"?*")</x:f>
        <x:v>0</x:v>
      </x:c>
    </x:row>
    <x:row r="11">
      <x:c r="A11" s="30" t="str">
        <x:v>Direction/role issue</x:v>
      </x:c>
      <x:c r="B11" t="n">
        <x:f>COUNTIF(Review!K2:K51,"no")+COUNTIF(Review!K2:K51,"partly")</x:f>
        <x:v>0</x:v>
      </x:c>
    </x:row>
    <x:row r="12">
      <x:c r="A12" s="30" t="str">
        <x:v>Polarity issue</x:v>
      </x:c>
      <x:c r="B12" t="n">
        <x:f>COUNTIF(Review!L2:L51,"no")+COUNTIF(Review!L2:L51,"partly")</x:f>
        <x:v>0</x:v>
      </x:c>
    </x:row>
  </x:sheetData>
  <x:pageMargins left="0.7" right="0.7" top="0.75" bottom="0.75" header="0.3" footer="0.3"/>
</x:worksheet>
</file>